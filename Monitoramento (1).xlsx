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EstaPastaDeTrabalho"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higor\Documents\Lab.Tesla\CAD 3\2023\"/>
    </mc:Choice>
  </mc:AlternateContent>
  <xr:revisionPtr revIDLastSave="0" documentId="13_ncr:1_{03451A11-2C41-4AF6-AF4D-E532448E07B0}" xr6:coauthVersionLast="47" xr6:coauthVersionMax="47" xr10:uidLastSave="{00000000-0000-0000-0000-000000000000}"/>
  <bookViews>
    <workbookView xWindow="-120" yWindow="-120" windowWidth="20730" windowHeight="11040" firstSheet="1" activeTab="3" xr2:uid="{F7F44B12-655A-4005-9057-50BCBCCFAD44}"/>
  </bookViews>
  <sheets>
    <sheet name="Inicio" sheetId="21" r:id="rId1"/>
    <sheet name="CAD 3 2023" sheetId="1" r:id="rId2"/>
    <sheet name="CAD 3 2024" sheetId="18" r:id="rId3"/>
    <sheet name="CAD 3 2025" sheetId="20" r:id="rId4"/>
    <sheet name="CAD 1 2024-2025" sheetId="19" r:id="rId5"/>
    <sheet name="Pot. Pico" sheetId="2" r:id="rId6"/>
    <sheet name="Gráfico MP" sheetId="17" r:id="rId7"/>
    <sheet name="BASE_GERAL" sheetId="22" r:id="rId8"/>
  </sheet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20" l="1"/>
  <c r="J8" i="20"/>
  <c r="J9" i="20"/>
  <c r="J10" i="20"/>
  <c r="J11" i="20"/>
  <c r="L12" i="20"/>
  <c r="K12" i="20"/>
  <c r="K14" i="20" s="1"/>
  <c r="J12" i="20"/>
  <c r="M12" i="20"/>
  <c r="M11" i="20"/>
  <c r="M10" i="20"/>
  <c r="K10" i="20"/>
  <c r="K11" i="20"/>
  <c r="M4" i="20"/>
  <c r="M7" i="20"/>
  <c r="M9" i="20"/>
  <c r="L14" i="20"/>
  <c r="M29" i="19"/>
  <c r="M30" i="19"/>
  <c r="M31" i="19"/>
  <c r="M32" i="19"/>
  <c r="J7" i="20"/>
  <c r="J6" i="20"/>
  <c r="J5" i="20"/>
  <c r="J4" i="20"/>
  <c r="J3" i="20"/>
  <c r="J2" i="20"/>
  <c r="E449" i="19"/>
  <c r="E450" i="19"/>
  <c r="E451" i="19"/>
  <c r="E452" i="19"/>
  <c r="E453" i="19"/>
  <c r="E454" i="19"/>
  <c r="E455" i="19"/>
  <c r="E456" i="19"/>
  <c r="L31" i="19" s="1"/>
  <c r="E457" i="19"/>
  <c r="E458" i="19"/>
  <c r="E459" i="19"/>
  <c r="E460" i="19"/>
  <c r="E461" i="19"/>
  <c r="L32" i="19" s="1"/>
  <c r="E462" i="19"/>
  <c r="E463" i="19"/>
  <c r="E464" i="19"/>
  <c r="E465" i="19"/>
  <c r="E466" i="19"/>
  <c r="E467" i="19"/>
  <c r="E468" i="19"/>
  <c r="E469" i="19"/>
  <c r="E470" i="19"/>
  <c r="E471" i="19"/>
  <c r="E472" i="19"/>
  <c r="E473" i="19"/>
  <c r="E474" i="19"/>
  <c r="E475" i="19"/>
  <c r="E476" i="19"/>
  <c r="E477" i="19"/>
  <c r="E478" i="19"/>
  <c r="E479" i="19"/>
  <c r="E480" i="19"/>
  <c r="E481" i="19"/>
  <c r="E482" i="19"/>
  <c r="E483" i="19"/>
  <c r="E484" i="19"/>
  <c r="E485" i="19"/>
  <c r="E486" i="19"/>
  <c r="E487" i="19"/>
  <c r="E488" i="19"/>
  <c r="E489" i="19"/>
  <c r="E490" i="19"/>
  <c r="E491" i="19"/>
  <c r="E492" i="19"/>
  <c r="E493" i="19"/>
  <c r="E494" i="19"/>
  <c r="E495" i="19"/>
  <c r="E496" i="19"/>
  <c r="E497" i="19"/>
  <c r="E498" i="19"/>
  <c r="E499" i="19"/>
  <c r="E500" i="19"/>
  <c r="E501" i="19"/>
  <c r="E502" i="19"/>
  <c r="E503" i="19"/>
  <c r="E504" i="19"/>
  <c r="E505" i="19"/>
  <c r="E506" i="19"/>
  <c r="E507" i="19"/>
  <c r="E508" i="19"/>
  <c r="E509" i="19"/>
  <c r="E510" i="19"/>
  <c r="E511" i="19"/>
  <c r="E512" i="19"/>
  <c r="E513" i="19"/>
  <c r="E514" i="19"/>
  <c r="E515" i="19"/>
  <c r="E516" i="19"/>
  <c r="E517" i="19"/>
  <c r="E518" i="19"/>
  <c r="F450" i="19"/>
  <c r="F451" i="19"/>
  <c r="F452" i="19"/>
  <c r="F453" i="19"/>
  <c r="F454" i="19"/>
  <c r="F455" i="19"/>
  <c r="F456" i="19"/>
  <c r="F457" i="19"/>
  <c r="F458" i="19"/>
  <c r="F459" i="19"/>
  <c r="F460" i="19"/>
  <c r="F461" i="19"/>
  <c r="F462" i="19"/>
  <c r="F463" i="19"/>
  <c r="F464" i="19"/>
  <c r="F465" i="19"/>
  <c r="F466" i="19"/>
  <c r="F467" i="19"/>
  <c r="F468" i="19"/>
  <c r="F469" i="19"/>
  <c r="F470" i="19"/>
  <c r="F471" i="19"/>
  <c r="F472" i="19"/>
  <c r="F473" i="19"/>
  <c r="F474" i="19"/>
  <c r="F475" i="19"/>
  <c r="F476" i="19"/>
  <c r="F477" i="19"/>
  <c r="F478" i="19"/>
  <c r="F479" i="19"/>
  <c r="F480" i="19"/>
  <c r="F481" i="19"/>
  <c r="F482" i="19"/>
  <c r="F483" i="19"/>
  <c r="F484" i="19"/>
  <c r="F485" i="19"/>
  <c r="F486" i="19"/>
  <c r="F487" i="19"/>
  <c r="F488" i="19"/>
  <c r="F489" i="19"/>
  <c r="F490" i="19"/>
  <c r="F491" i="19"/>
  <c r="F492" i="19"/>
  <c r="F493" i="19"/>
  <c r="F494" i="19"/>
  <c r="F495" i="19"/>
  <c r="F496" i="19"/>
  <c r="F497" i="19"/>
  <c r="F498" i="19"/>
  <c r="F499" i="19"/>
  <c r="F500" i="19"/>
  <c r="F501" i="19"/>
  <c r="F502" i="19"/>
  <c r="F503" i="19"/>
  <c r="F504" i="19"/>
  <c r="F505" i="19"/>
  <c r="F506" i="19"/>
  <c r="F507" i="19"/>
  <c r="F508" i="19"/>
  <c r="F509" i="19"/>
  <c r="F510" i="19"/>
  <c r="F511" i="19"/>
  <c r="F512" i="19"/>
  <c r="F513" i="19"/>
  <c r="F514" i="19"/>
  <c r="F515" i="19"/>
  <c r="F516" i="19"/>
  <c r="F517" i="19"/>
  <c r="F518" i="19"/>
  <c r="F449" i="19"/>
  <c r="N31" i="19" s="1"/>
  <c r="N32" i="19"/>
  <c r="K32" i="19"/>
  <c r="N30" i="19"/>
  <c r="N33" i="19"/>
  <c r="K31" i="19"/>
  <c r="J32" i="19"/>
  <c r="M33" i="19"/>
  <c r="L30" i="19"/>
  <c r="K30" i="19"/>
  <c r="J31" i="19"/>
  <c r="J30" i="19"/>
  <c r="K27" i="19"/>
  <c r="K26" i="19"/>
  <c r="K25" i="19"/>
  <c r="K24" i="19"/>
  <c r="M28" i="19"/>
  <c r="K29" i="19"/>
  <c r="K28" i="19"/>
  <c r="K23" i="19"/>
  <c r="K22" i="19"/>
  <c r="K8" i="19"/>
  <c r="M8" i="19" s="1"/>
  <c r="M7" i="19"/>
  <c r="M6" i="19"/>
  <c r="M5" i="19"/>
  <c r="M4" i="19"/>
  <c r="K7" i="19"/>
  <c r="M13" i="19"/>
  <c r="M12" i="19"/>
  <c r="M11" i="19"/>
  <c r="M10" i="19"/>
  <c r="M9" i="19"/>
  <c r="M3" i="19"/>
  <c r="M2" i="19"/>
  <c r="K13" i="19"/>
  <c r="K12" i="19"/>
  <c r="K11" i="19"/>
  <c r="K10" i="19"/>
  <c r="K9" i="19"/>
  <c r="K6" i="19"/>
  <c r="K5" i="19"/>
  <c r="K4" i="19"/>
  <c r="K3" i="19"/>
  <c r="K2" i="19"/>
  <c r="M8" i="20"/>
  <c r="M6" i="20"/>
  <c r="M5" i="20"/>
  <c r="M3" i="20"/>
  <c r="M2" i="20"/>
  <c r="K9" i="20"/>
  <c r="K7" i="20"/>
  <c r="K6" i="20"/>
  <c r="K5" i="20"/>
  <c r="K4" i="20"/>
  <c r="K3" i="20"/>
  <c r="K2" i="20"/>
  <c r="M2" i="1"/>
  <c r="K13" i="18"/>
  <c r="M13" i="18" s="1"/>
  <c r="K12" i="18"/>
  <c r="M12" i="18" s="1"/>
  <c r="K11" i="18"/>
  <c r="M11" i="18" s="1"/>
  <c r="K10" i="18"/>
  <c r="M10" i="18" s="1"/>
  <c r="K9" i="18"/>
  <c r="M9" i="18" s="1"/>
  <c r="K8" i="18"/>
  <c r="M8" i="18" s="1"/>
  <c r="K7" i="18"/>
  <c r="M7" i="18" s="1"/>
  <c r="K6" i="18"/>
  <c r="M6" i="18" s="1"/>
  <c r="K5" i="18"/>
  <c r="M5" i="18" s="1"/>
  <c r="K4" i="18"/>
  <c r="M4" i="18" s="1"/>
  <c r="K3" i="18"/>
  <c r="M3" i="18" s="1"/>
  <c r="K2" i="18"/>
  <c r="M2" i="18" s="1"/>
  <c r="M14" i="1"/>
  <c r="M13" i="1"/>
  <c r="M12" i="1"/>
  <c r="M11" i="1"/>
  <c r="M10" i="1"/>
  <c r="M9" i="1"/>
  <c r="M8" i="1"/>
  <c r="M7" i="1"/>
  <c r="M6" i="1"/>
  <c r="M5" i="1"/>
  <c r="M4" i="1"/>
  <c r="M3" i="1"/>
  <c r="K13" i="1"/>
  <c r="K12" i="1"/>
  <c r="K11" i="1"/>
  <c r="K10" i="1"/>
  <c r="K9" i="1"/>
  <c r="K8" i="1"/>
  <c r="K7" i="1"/>
  <c r="K6" i="1"/>
  <c r="K5" i="1"/>
  <c r="K4" i="1"/>
  <c r="K3" i="1"/>
  <c r="K2" i="1"/>
  <c r="L7" i="20" l="1"/>
  <c r="J28" i="19"/>
  <c r="J2" i="19"/>
  <c r="J7" i="19"/>
  <c r="L5" i="1"/>
  <c r="J3" i="1"/>
  <c r="L4" i="1"/>
  <c r="J2" i="1"/>
  <c r="J7" i="18"/>
  <c r="J2" i="18"/>
  <c r="K34" i="19"/>
  <c r="M34" i="19" s="1"/>
  <c r="F367" i="18"/>
  <c r="F53" i="18"/>
  <c r="J13" i="1"/>
  <c r="F365" i="1"/>
  <c r="E365" i="1"/>
  <c r="E361" i="1"/>
  <c r="E349" i="1"/>
  <c r="E346" i="1"/>
  <c r="E308" i="1"/>
  <c r="E298" i="1"/>
  <c r="E290" i="1"/>
  <c r="E285" i="1"/>
  <c r="E135" i="1"/>
  <c r="E64" i="1"/>
  <c r="E40" i="1"/>
  <c r="E4" i="1"/>
  <c r="E2" i="1"/>
  <c r="J5" i="1"/>
  <c r="J4" i="1"/>
  <c r="L28" i="19"/>
  <c r="J29" i="19"/>
  <c r="L29" i="19"/>
  <c r="N29" i="19"/>
  <c r="N7" i="20"/>
  <c r="L12" i="19"/>
  <c r="N13" i="19"/>
  <c r="N14" i="19" s="1"/>
  <c r="L13" i="19"/>
  <c r="J11" i="1"/>
  <c r="L14" i="19"/>
  <c r="J13" i="19"/>
  <c r="J12" i="19"/>
  <c r="J11" i="19"/>
  <c r="J10" i="19"/>
  <c r="J9" i="19"/>
  <c r="J8" i="19"/>
  <c r="L27" i="19"/>
  <c r="L7" i="19"/>
  <c r="J34" i="19"/>
  <c r="N6" i="19"/>
  <c r="N27" i="19"/>
  <c r="N7" i="19"/>
  <c r="N28" i="19"/>
  <c r="F308" i="19"/>
  <c r="F307" i="19"/>
  <c r="F306" i="19"/>
  <c r="F309" i="19"/>
  <c r="F305" i="19"/>
  <c r="F310" i="19"/>
  <c r="F311" i="19"/>
  <c r="F312" i="19"/>
  <c r="F313" i="19"/>
  <c r="F314" i="19"/>
  <c r="F315" i="19"/>
  <c r="F316" i="19"/>
  <c r="F317" i="19"/>
  <c r="F318" i="19"/>
  <c r="F319" i="19"/>
  <c r="F320" i="19"/>
  <c r="F321" i="19"/>
  <c r="F322" i="19"/>
  <c r="F323" i="19"/>
  <c r="F324" i="19"/>
  <c r="F325" i="19"/>
  <c r="F326" i="19"/>
  <c r="F327" i="19"/>
  <c r="F328" i="19"/>
  <c r="F329" i="19"/>
  <c r="F330" i="19"/>
  <c r="F331" i="19"/>
  <c r="F332" i="19"/>
  <c r="F333" i="19"/>
  <c r="F334" i="19"/>
  <c r="F335" i="19"/>
  <c r="F336" i="19"/>
  <c r="F337" i="19"/>
  <c r="F338" i="19"/>
  <c r="F339" i="19"/>
  <c r="F340" i="19"/>
  <c r="F341" i="19"/>
  <c r="F342" i="19"/>
  <c r="F343" i="19"/>
  <c r="F344" i="19"/>
  <c r="F345" i="19"/>
  <c r="F346" i="19"/>
  <c r="F347" i="19"/>
  <c r="F348" i="19"/>
  <c r="F349" i="19"/>
  <c r="F350" i="19"/>
  <c r="F351" i="19"/>
  <c r="F352" i="19"/>
  <c r="F353" i="19"/>
  <c r="F354" i="19"/>
  <c r="F355" i="19"/>
  <c r="F356" i="19"/>
  <c r="F357" i="19"/>
  <c r="F358" i="19"/>
  <c r="F359" i="19"/>
  <c r="F360" i="19"/>
  <c r="F361" i="19"/>
  <c r="F362" i="19"/>
  <c r="F363" i="19"/>
  <c r="F364" i="19"/>
  <c r="F365" i="19"/>
  <c r="F366" i="19"/>
  <c r="F367" i="19"/>
  <c r="F368" i="19"/>
  <c r="F369" i="19"/>
  <c r="F370" i="19"/>
  <c r="F371" i="19"/>
  <c r="F372" i="19"/>
  <c r="F373" i="19"/>
  <c r="F374" i="19"/>
  <c r="F375" i="19"/>
  <c r="F376" i="19"/>
  <c r="F377" i="19"/>
  <c r="F378" i="19"/>
  <c r="F379" i="19"/>
  <c r="F380" i="19"/>
  <c r="F381" i="19"/>
  <c r="F382" i="19"/>
  <c r="F383" i="19"/>
  <c r="F384" i="19"/>
  <c r="F385" i="19"/>
  <c r="F386" i="19"/>
  <c r="F387" i="19"/>
  <c r="F388" i="19"/>
  <c r="F389" i="19"/>
  <c r="F390" i="19"/>
  <c r="F391" i="19"/>
  <c r="F392" i="19"/>
  <c r="F393" i="19"/>
  <c r="F394" i="19"/>
  <c r="F395" i="19"/>
  <c r="F396" i="19"/>
  <c r="F397" i="19"/>
  <c r="F398" i="19"/>
  <c r="F399" i="19"/>
  <c r="F400" i="19"/>
  <c r="F401" i="19"/>
  <c r="F402" i="19"/>
  <c r="F403" i="19"/>
  <c r="F404" i="19"/>
  <c r="F405" i="19"/>
  <c r="F406" i="19"/>
  <c r="F407" i="19"/>
  <c r="F408" i="19"/>
  <c r="F409" i="19"/>
  <c r="F410" i="19"/>
  <c r="F411" i="19"/>
  <c r="F412" i="19"/>
  <c r="F413" i="19"/>
  <c r="F414" i="19"/>
  <c r="F415" i="19"/>
  <c r="F416" i="19"/>
  <c r="F417" i="19"/>
  <c r="F418" i="19"/>
  <c r="F419" i="19"/>
  <c r="F420" i="19"/>
  <c r="F421" i="19"/>
  <c r="F422" i="19"/>
  <c r="F423" i="19"/>
  <c r="F424" i="19"/>
  <c r="F425" i="19"/>
  <c r="F426" i="19"/>
  <c r="N34" i="19" s="1"/>
  <c r="F427" i="19"/>
  <c r="F428" i="19"/>
  <c r="F429" i="19"/>
  <c r="F430" i="19"/>
  <c r="F431" i="19"/>
  <c r="F432" i="19"/>
  <c r="F433" i="19"/>
  <c r="F434" i="19"/>
  <c r="F435" i="19"/>
  <c r="F436" i="19"/>
  <c r="F437" i="19"/>
  <c r="F438" i="19"/>
  <c r="F439" i="19"/>
  <c r="F440" i="19"/>
  <c r="F441" i="19"/>
  <c r="F442" i="19"/>
  <c r="F443" i="19"/>
  <c r="F444" i="19"/>
  <c r="F445" i="19"/>
  <c r="F446" i="19"/>
  <c r="F447" i="19"/>
  <c r="F448" i="19"/>
  <c r="F210" i="19"/>
  <c r="L34" i="19"/>
  <c r="E366" i="19"/>
  <c r="E367" i="19"/>
  <c r="E368" i="19"/>
  <c r="E369" i="19"/>
  <c r="E370" i="19"/>
  <c r="E371" i="19"/>
  <c r="E372" i="19"/>
  <c r="E373" i="19"/>
  <c r="E374" i="19"/>
  <c r="E375" i="19"/>
  <c r="E376" i="19"/>
  <c r="E377" i="19"/>
  <c r="E378" i="19"/>
  <c r="E379" i="19"/>
  <c r="E380" i="19"/>
  <c r="E381" i="19"/>
  <c r="E382" i="19"/>
  <c r="E383" i="19"/>
  <c r="E384" i="19"/>
  <c r="E385" i="19"/>
  <c r="E386" i="19"/>
  <c r="E387" i="19"/>
  <c r="E388" i="19"/>
  <c r="E389" i="19"/>
  <c r="E390" i="19"/>
  <c r="E391" i="19"/>
  <c r="E392" i="19"/>
  <c r="E393" i="19"/>
  <c r="E394" i="19"/>
  <c r="E395" i="19"/>
  <c r="E396" i="19"/>
  <c r="E397" i="19"/>
  <c r="E398" i="19"/>
  <c r="E399" i="19"/>
  <c r="E400" i="19"/>
  <c r="E401" i="19"/>
  <c r="E402" i="19"/>
  <c r="E403" i="19"/>
  <c r="E404" i="19"/>
  <c r="E405" i="19"/>
  <c r="E406" i="19"/>
  <c r="E407" i="19"/>
  <c r="E408" i="19"/>
  <c r="E409" i="19"/>
  <c r="E410" i="19"/>
  <c r="E411" i="19"/>
  <c r="E412" i="19"/>
  <c r="E413" i="19"/>
  <c r="E414" i="19"/>
  <c r="E415" i="19"/>
  <c r="E416" i="19"/>
  <c r="E417" i="19"/>
  <c r="E418" i="19"/>
  <c r="E419" i="19"/>
  <c r="E420" i="19"/>
  <c r="E421" i="19"/>
  <c r="E422" i="19"/>
  <c r="E423" i="19"/>
  <c r="E424" i="19"/>
  <c r="E425" i="19"/>
  <c r="E426" i="19"/>
  <c r="E427" i="19"/>
  <c r="E428" i="19"/>
  <c r="E429" i="19"/>
  <c r="E430" i="19"/>
  <c r="E431" i="19"/>
  <c r="E432" i="19"/>
  <c r="E433" i="19"/>
  <c r="E434" i="19"/>
  <c r="E435" i="19"/>
  <c r="E436" i="19"/>
  <c r="E437" i="19"/>
  <c r="E438" i="19"/>
  <c r="E439" i="19"/>
  <c r="E440" i="19"/>
  <c r="E441" i="19"/>
  <c r="E442" i="19"/>
  <c r="E443" i="19"/>
  <c r="E444" i="19"/>
  <c r="E445" i="19"/>
  <c r="E446" i="19"/>
  <c r="E447" i="19"/>
  <c r="E448" i="19"/>
  <c r="E308" i="19"/>
  <c r="E312" i="19"/>
  <c r="E310" i="19"/>
  <c r="E298" i="19"/>
  <c r="E297" i="19"/>
  <c r="M40" i="19"/>
  <c r="N9" i="20"/>
  <c r="L9" i="20"/>
  <c r="E364" i="19"/>
  <c r="E313" i="19"/>
  <c r="E314" i="19"/>
  <c r="E315" i="19"/>
  <c r="E316" i="19"/>
  <c r="E317" i="19"/>
  <c r="E318" i="19"/>
  <c r="E319" i="19"/>
  <c r="E320" i="19"/>
  <c r="E321" i="19"/>
  <c r="E322" i="19"/>
  <c r="E323" i="19"/>
  <c r="E324" i="19"/>
  <c r="E325" i="19"/>
  <c r="E326" i="19"/>
  <c r="E327" i="19"/>
  <c r="E328" i="19"/>
  <c r="E329" i="19"/>
  <c r="E330" i="19"/>
  <c r="E331" i="19"/>
  <c r="E332" i="19"/>
  <c r="E333" i="19"/>
  <c r="E334" i="19"/>
  <c r="E335" i="19"/>
  <c r="E336" i="19"/>
  <c r="E337" i="19"/>
  <c r="E338" i="19"/>
  <c r="E339" i="19"/>
  <c r="E340" i="19"/>
  <c r="E341" i="19"/>
  <c r="E342" i="19"/>
  <c r="E343" i="19"/>
  <c r="E344" i="19"/>
  <c r="E345" i="19"/>
  <c r="E346" i="19"/>
  <c r="E347" i="19"/>
  <c r="E348" i="19"/>
  <c r="E349" i="19"/>
  <c r="E350" i="19"/>
  <c r="E351" i="19"/>
  <c r="E352" i="19"/>
  <c r="E353" i="19"/>
  <c r="E354" i="19"/>
  <c r="E355" i="19"/>
  <c r="E356" i="19"/>
  <c r="E357" i="19"/>
  <c r="E358" i="19"/>
  <c r="E359" i="19"/>
  <c r="E360" i="19"/>
  <c r="E361" i="19"/>
  <c r="E362" i="19"/>
  <c r="E363" i="19"/>
  <c r="E365" i="19"/>
  <c r="E307" i="19"/>
  <c r="E309" i="19"/>
  <c r="E311" i="19"/>
  <c r="E306" i="19"/>
  <c r="E305" i="19"/>
  <c r="L6" i="19"/>
  <c r="J6" i="19"/>
  <c r="N13" i="1"/>
  <c r="N14" i="1" s="1"/>
  <c r="N12" i="1"/>
  <c r="L12" i="1"/>
  <c r="N11" i="1"/>
  <c r="L11" i="1"/>
  <c r="N10" i="1"/>
  <c r="L10" i="1"/>
  <c r="N9" i="1"/>
  <c r="L9" i="1"/>
  <c r="N8" i="1"/>
  <c r="L8" i="1"/>
  <c r="N7" i="1"/>
  <c r="L7" i="1"/>
  <c r="L6" i="1"/>
  <c r="N6" i="1"/>
  <c r="N5" i="1"/>
  <c r="N4" i="1"/>
  <c r="N3" i="1"/>
  <c r="L3" i="1"/>
  <c r="N2" i="1"/>
  <c r="J12" i="1"/>
  <c r="L2" i="1"/>
  <c r="J10" i="1"/>
  <c r="J9" i="1"/>
  <c r="J8" i="1"/>
  <c r="J7" i="1"/>
  <c r="J6" i="1"/>
  <c r="E366" i="1"/>
  <c r="L13" i="1" s="1"/>
  <c r="F366" i="1"/>
  <c r="J11" i="18"/>
  <c r="J10" i="18"/>
  <c r="J9" i="18"/>
  <c r="J8" i="18"/>
  <c r="J6" i="18"/>
  <c r="J5" i="18"/>
  <c r="J4" i="18"/>
  <c r="J3" i="18"/>
  <c r="J12" i="18"/>
  <c r="J13" i="18"/>
  <c r="N6" i="20"/>
  <c r="N2" i="20"/>
  <c r="L6" i="20"/>
  <c r="N5" i="20"/>
  <c r="L5" i="20"/>
  <c r="N4" i="20"/>
  <c r="J14" i="18" l="1"/>
  <c r="K14" i="1"/>
  <c r="K14" i="19"/>
  <c r="M14" i="19" s="1"/>
  <c r="K14" i="18"/>
  <c r="M14" i="18" s="1"/>
  <c r="J14" i="19"/>
  <c r="J14" i="1"/>
  <c r="L14" i="1"/>
  <c r="L5" i="19"/>
  <c r="J5" i="19"/>
  <c r="F275" i="19"/>
  <c r="F276" i="19"/>
  <c r="F277" i="19"/>
  <c r="F278" i="19"/>
  <c r="F279" i="19"/>
  <c r="F280" i="19"/>
  <c r="F281" i="19"/>
  <c r="F282" i="19"/>
  <c r="F283" i="19"/>
  <c r="F284" i="19"/>
  <c r="F285" i="19"/>
  <c r="F286" i="19"/>
  <c r="F287" i="19"/>
  <c r="F288" i="19"/>
  <c r="F289" i="19"/>
  <c r="F290" i="19"/>
  <c r="F291" i="19"/>
  <c r="F292" i="19"/>
  <c r="F293" i="19"/>
  <c r="F294" i="19"/>
  <c r="F295" i="19"/>
  <c r="F296" i="19"/>
  <c r="F297" i="19"/>
  <c r="F298" i="19"/>
  <c r="F299" i="19"/>
  <c r="F300" i="19"/>
  <c r="F301" i="19"/>
  <c r="F302" i="19"/>
  <c r="F303" i="19"/>
  <c r="F304" i="19"/>
  <c r="E275" i="19"/>
  <c r="E276" i="19"/>
  <c r="E277" i="19"/>
  <c r="E278" i="19"/>
  <c r="E279" i="19"/>
  <c r="E280" i="19"/>
  <c r="E281" i="19"/>
  <c r="E282" i="19"/>
  <c r="E283" i="19"/>
  <c r="E284" i="19"/>
  <c r="E285" i="19"/>
  <c r="E286" i="19"/>
  <c r="E287" i="19"/>
  <c r="E288" i="19"/>
  <c r="E289" i="19"/>
  <c r="E290" i="19"/>
  <c r="E291" i="19"/>
  <c r="E292" i="19"/>
  <c r="E293" i="19"/>
  <c r="E294" i="19"/>
  <c r="E295" i="19"/>
  <c r="E296" i="19"/>
  <c r="E299" i="19"/>
  <c r="E300" i="19"/>
  <c r="E301" i="19"/>
  <c r="E302" i="19"/>
  <c r="E303" i="19"/>
  <c r="E304" i="19"/>
  <c r="F200" i="20"/>
  <c r="F201" i="20"/>
  <c r="F202" i="20"/>
  <c r="F203" i="20"/>
  <c r="F204" i="20"/>
  <c r="F205" i="20"/>
  <c r="F206" i="20"/>
  <c r="F207" i="20"/>
  <c r="F208" i="20"/>
  <c r="F209" i="20"/>
  <c r="F210" i="20"/>
  <c r="F211" i="20"/>
  <c r="F212" i="20"/>
  <c r="F213" i="20"/>
  <c r="F214" i="20"/>
  <c r="F215" i="20"/>
  <c r="F216" i="20"/>
  <c r="F217" i="20"/>
  <c r="F218" i="20"/>
  <c r="F219" i="20"/>
  <c r="F220" i="20"/>
  <c r="F221" i="20"/>
  <c r="F222" i="20"/>
  <c r="F223" i="20"/>
  <c r="F224" i="20"/>
  <c r="F225" i="20"/>
  <c r="F226" i="20"/>
  <c r="F227" i="20"/>
  <c r="F228" i="20"/>
  <c r="F229" i="20"/>
  <c r="F230" i="20"/>
  <c r="F231" i="20"/>
  <c r="F232" i="20"/>
  <c r="F233" i="20"/>
  <c r="F234" i="20"/>
  <c r="F235" i="20"/>
  <c r="F236" i="20"/>
  <c r="F237" i="20"/>
  <c r="F238" i="20"/>
  <c r="F239" i="20"/>
  <c r="F240" i="20"/>
  <c r="F241" i="20"/>
  <c r="F242" i="20"/>
  <c r="F243" i="20"/>
  <c r="F244" i="20"/>
  <c r="F245" i="20"/>
  <c r="F246" i="20"/>
  <c r="F247" i="20"/>
  <c r="F248" i="20"/>
  <c r="F249" i="20"/>
  <c r="F250" i="20"/>
  <c r="F251" i="20"/>
  <c r="F252" i="20"/>
  <c r="F253" i="20"/>
  <c r="F254" i="20"/>
  <c r="F255" i="20"/>
  <c r="F256" i="20"/>
  <c r="F257" i="20"/>
  <c r="F258" i="20"/>
  <c r="F259" i="20"/>
  <c r="F260" i="20"/>
  <c r="F261" i="20"/>
  <c r="F262" i="20"/>
  <c r="F263" i="20"/>
  <c r="F264" i="20"/>
  <c r="F265" i="20"/>
  <c r="F266" i="20"/>
  <c r="N10" i="20" s="1"/>
  <c r="F267" i="20"/>
  <c r="F268" i="20"/>
  <c r="F269" i="20"/>
  <c r="F270" i="20"/>
  <c r="F271" i="20"/>
  <c r="F272" i="20"/>
  <c r="F273" i="20"/>
  <c r="F274" i="20"/>
  <c r="F275" i="20"/>
  <c r="F276" i="20"/>
  <c r="F277" i="20"/>
  <c r="F278" i="20"/>
  <c r="F279" i="20"/>
  <c r="F280" i="20"/>
  <c r="F281" i="20"/>
  <c r="F282" i="20"/>
  <c r="F283" i="20"/>
  <c r="F284" i="20"/>
  <c r="F285" i="20"/>
  <c r="F286" i="20"/>
  <c r="F287" i="20"/>
  <c r="F288" i="20"/>
  <c r="F289" i="20"/>
  <c r="F290" i="20"/>
  <c r="F291" i="20"/>
  <c r="F292" i="20"/>
  <c r="F293" i="20"/>
  <c r="F294" i="20"/>
  <c r="F295" i="20"/>
  <c r="F296" i="20"/>
  <c r="F297" i="20"/>
  <c r="F298" i="20"/>
  <c r="F299" i="20"/>
  <c r="F300" i="20"/>
  <c r="F301" i="20"/>
  <c r="F302" i="20"/>
  <c r="F303" i="20"/>
  <c r="F304" i="20"/>
  <c r="F305" i="20"/>
  <c r="F306" i="20"/>
  <c r="F307" i="20"/>
  <c r="F308" i="20"/>
  <c r="F309" i="20"/>
  <c r="F310" i="20"/>
  <c r="F311" i="20"/>
  <c r="F312" i="20"/>
  <c r="F313" i="20"/>
  <c r="F314" i="20"/>
  <c r="F315" i="20"/>
  <c r="F316" i="20"/>
  <c r="F317" i="20"/>
  <c r="F318" i="20"/>
  <c r="F319" i="20"/>
  <c r="F320" i="20"/>
  <c r="F321" i="20"/>
  <c r="F322" i="20"/>
  <c r="F323" i="20"/>
  <c r="F324" i="20"/>
  <c r="F325" i="20"/>
  <c r="F326" i="20"/>
  <c r="F327" i="20"/>
  <c r="F328" i="20"/>
  <c r="F329" i="20"/>
  <c r="F330" i="20"/>
  <c r="F331" i="20"/>
  <c r="F332" i="20"/>
  <c r="F333" i="20"/>
  <c r="F334" i="20"/>
  <c r="F335" i="20"/>
  <c r="F336" i="20"/>
  <c r="F337" i="20"/>
  <c r="N13" i="20" s="1"/>
  <c r="F338" i="20"/>
  <c r="F339" i="20"/>
  <c r="F340" i="20"/>
  <c r="F341" i="20"/>
  <c r="F342" i="20"/>
  <c r="F343" i="20"/>
  <c r="F344" i="20"/>
  <c r="F345" i="20"/>
  <c r="F346" i="20"/>
  <c r="F347" i="20"/>
  <c r="F348" i="20"/>
  <c r="F349" i="20"/>
  <c r="F350" i="20"/>
  <c r="F351" i="20"/>
  <c r="F352" i="20"/>
  <c r="F353" i="20"/>
  <c r="F354" i="20"/>
  <c r="F355" i="20"/>
  <c r="F356" i="20"/>
  <c r="F357" i="20"/>
  <c r="F358" i="20"/>
  <c r="E178" i="20"/>
  <c r="E179" i="20"/>
  <c r="E180" i="20"/>
  <c r="E181" i="20"/>
  <c r="E182" i="20"/>
  <c r="E183" i="20"/>
  <c r="E184" i="20"/>
  <c r="E185" i="20"/>
  <c r="E186" i="20"/>
  <c r="E187" i="20"/>
  <c r="E188" i="20"/>
  <c r="E189" i="20"/>
  <c r="E190" i="20"/>
  <c r="E191" i="20"/>
  <c r="E192" i="20"/>
  <c r="E193" i="20"/>
  <c r="E194" i="20"/>
  <c r="E195" i="20"/>
  <c r="E196" i="20"/>
  <c r="E197" i="20"/>
  <c r="E198" i="20"/>
  <c r="E199" i="20"/>
  <c r="E200" i="20"/>
  <c r="E201" i="20"/>
  <c r="E202" i="20"/>
  <c r="E203" i="20"/>
  <c r="E204" i="20"/>
  <c r="E205" i="20"/>
  <c r="E206" i="20"/>
  <c r="E207" i="20"/>
  <c r="E208" i="20"/>
  <c r="E209" i="20"/>
  <c r="E210" i="20"/>
  <c r="E211" i="20"/>
  <c r="E212" i="20"/>
  <c r="E213" i="20"/>
  <c r="E214" i="20"/>
  <c r="E215" i="20"/>
  <c r="E216" i="20"/>
  <c r="E217" i="20"/>
  <c r="E218" i="20"/>
  <c r="E219" i="20"/>
  <c r="E220" i="20"/>
  <c r="E221" i="20"/>
  <c r="E222" i="20"/>
  <c r="E223" i="20"/>
  <c r="E224" i="20"/>
  <c r="E225" i="20"/>
  <c r="E226" i="20"/>
  <c r="E227" i="20"/>
  <c r="E228" i="20"/>
  <c r="E229" i="20"/>
  <c r="E230" i="20"/>
  <c r="E231" i="20"/>
  <c r="E232" i="20"/>
  <c r="E233" i="20"/>
  <c r="E234" i="20"/>
  <c r="E235" i="20"/>
  <c r="E236" i="20"/>
  <c r="E237" i="20"/>
  <c r="E238" i="20"/>
  <c r="E239" i="20"/>
  <c r="E240" i="20"/>
  <c r="E241" i="20"/>
  <c r="E242" i="20"/>
  <c r="E243" i="20"/>
  <c r="E244" i="20"/>
  <c r="E245" i="20"/>
  <c r="E246" i="20"/>
  <c r="E247" i="20"/>
  <c r="E248" i="20"/>
  <c r="E249" i="20"/>
  <c r="E250" i="20"/>
  <c r="E251" i="20"/>
  <c r="E252" i="20"/>
  <c r="E253" i="20"/>
  <c r="E254" i="20"/>
  <c r="E255" i="20"/>
  <c r="E256" i="20"/>
  <c r="E257" i="20"/>
  <c r="E258" i="20"/>
  <c r="E259" i="20"/>
  <c r="E260" i="20"/>
  <c r="E261" i="20"/>
  <c r="E262" i="20"/>
  <c r="E263" i="20"/>
  <c r="E264" i="20"/>
  <c r="E265" i="20"/>
  <c r="E266" i="20"/>
  <c r="L10" i="20" s="1"/>
  <c r="E267" i="20"/>
  <c r="E268" i="20"/>
  <c r="E269" i="20"/>
  <c r="E270" i="20"/>
  <c r="E271" i="20"/>
  <c r="E272" i="20"/>
  <c r="E273" i="20"/>
  <c r="E274" i="20"/>
  <c r="E275" i="20"/>
  <c r="E276" i="20"/>
  <c r="E277" i="20"/>
  <c r="E278" i="20"/>
  <c r="E279" i="20"/>
  <c r="E280" i="20"/>
  <c r="E281" i="20"/>
  <c r="E282" i="20"/>
  <c r="E283" i="20"/>
  <c r="E284" i="20"/>
  <c r="E285" i="20"/>
  <c r="E286" i="20"/>
  <c r="E287" i="20"/>
  <c r="E288" i="20"/>
  <c r="E289" i="20"/>
  <c r="E290" i="20"/>
  <c r="E291" i="20"/>
  <c r="E292" i="20"/>
  <c r="E293" i="20"/>
  <c r="E294" i="20"/>
  <c r="E295" i="20"/>
  <c r="E296" i="20"/>
  <c r="E297" i="20"/>
  <c r="E298" i="20"/>
  <c r="E299" i="20"/>
  <c r="E300" i="20"/>
  <c r="E301" i="20"/>
  <c r="E302" i="20"/>
  <c r="E303" i="20"/>
  <c r="E304" i="20"/>
  <c r="E305" i="20"/>
  <c r="E306" i="20"/>
  <c r="E307" i="20"/>
  <c r="E308" i="20"/>
  <c r="E309" i="20"/>
  <c r="E310" i="20"/>
  <c r="E311" i="20"/>
  <c r="E312" i="20"/>
  <c r="E313" i="20"/>
  <c r="E314" i="20"/>
  <c r="E315" i="20"/>
  <c r="E316" i="20"/>
  <c r="E317" i="20"/>
  <c r="E318" i="20"/>
  <c r="E319" i="20"/>
  <c r="E320" i="20"/>
  <c r="E321" i="20"/>
  <c r="E322" i="20"/>
  <c r="E323" i="20"/>
  <c r="E324" i="20"/>
  <c r="E325" i="20"/>
  <c r="E326" i="20"/>
  <c r="E327" i="20"/>
  <c r="E328" i="20"/>
  <c r="E329" i="20"/>
  <c r="E330" i="20"/>
  <c r="E331" i="20"/>
  <c r="E332" i="20"/>
  <c r="E333" i="20"/>
  <c r="E334" i="20"/>
  <c r="E335" i="20"/>
  <c r="E336" i="20"/>
  <c r="E337" i="20"/>
  <c r="L13" i="20" s="1"/>
  <c r="E338" i="20"/>
  <c r="E339" i="20"/>
  <c r="E340" i="20"/>
  <c r="E341" i="20"/>
  <c r="E342" i="20"/>
  <c r="E343" i="20"/>
  <c r="E344" i="20"/>
  <c r="E345" i="20"/>
  <c r="E346" i="20"/>
  <c r="E347" i="20"/>
  <c r="E348" i="20"/>
  <c r="E349" i="20"/>
  <c r="E350" i="20"/>
  <c r="E351" i="20"/>
  <c r="E352" i="20"/>
  <c r="E353" i="20"/>
  <c r="E354" i="20"/>
  <c r="E355" i="20"/>
  <c r="E356" i="20"/>
  <c r="E357" i="20"/>
  <c r="E358" i="20"/>
  <c r="F172" i="20"/>
  <c r="F173" i="20"/>
  <c r="F174" i="20"/>
  <c r="F175" i="20"/>
  <c r="F176" i="20"/>
  <c r="F177" i="20"/>
  <c r="F178" i="20"/>
  <c r="F179" i="20"/>
  <c r="F180" i="20"/>
  <c r="F181" i="20"/>
  <c r="F182" i="20"/>
  <c r="F183" i="20"/>
  <c r="F184" i="20"/>
  <c r="F185" i="20"/>
  <c r="F186" i="20"/>
  <c r="F187" i="20"/>
  <c r="F188" i="20"/>
  <c r="F189" i="20"/>
  <c r="F190" i="20"/>
  <c r="F191" i="20"/>
  <c r="F192" i="20"/>
  <c r="F193" i="20"/>
  <c r="F194" i="20"/>
  <c r="F195" i="20"/>
  <c r="F196" i="20"/>
  <c r="F197" i="20"/>
  <c r="F198" i="20"/>
  <c r="F199" i="20"/>
  <c r="F167" i="20"/>
  <c r="F145" i="20"/>
  <c r="F146" i="20"/>
  <c r="F147" i="20"/>
  <c r="F148" i="20"/>
  <c r="F149" i="20"/>
  <c r="F150" i="20"/>
  <c r="F151" i="20"/>
  <c r="F152" i="20"/>
  <c r="F153" i="20"/>
  <c r="F154" i="20"/>
  <c r="F155" i="20"/>
  <c r="F156" i="20"/>
  <c r="F157" i="20"/>
  <c r="F158" i="20"/>
  <c r="F159" i="20"/>
  <c r="F160" i="20"/>
  <c r="F161" i="20"/>
  <c r="F162" i="20"/>
  <c r="F163" i="20"/>
  <c r="F164" i="20"/>
  <c r="F165" i="20"/>
  <c r="F166" i="20"/>
  <c r="F168" i="20"/>
  <c r="F169" i="20"/>
  <c r="F170" i="20"/>
  <c r="F171" i="20"/>
  <c r="E146" i="20"/>
  <c r="E145" i="20"/>
  <c r="E147" i="20"/>
  <c r="E148" i="20"/>
  <c r="E149" i="20"/>
  <c r="E150" i="20"/>
  <c r="E151" i="20"/>
  <c r="E152" i="20"/>
  <c r="E153" i="20"/>
  <c r="E154" i="20"/>
  <c r="E155" i="20"/>
  <c r="E156" i="20"/>
  <c r="E157" i="20"/>
  <c r="E158" i="20"/>
  <c r="E159" i="20"/>
  <c r="E160" i="20"/>
  <c r="E161" i="20"/>
  <c r="E162" i="20"/>
  <c r="E163" i="20"/>
  <c r="E164" i="20"/>
  <c r="E165" i="20"/>
  <c r="E166" i="20"/>
  <c r="E167" i="20"/>
  <c r="E168" i="20"/>
  <c r="E169" i="20"/>
  <c r="E170" i="20"/>
  <c r="E171" i="20"/>
  <c r="E172" i="20"/>
  <c r="E173" i="20"/>
  <c r="E174" i="20"/>
  <c r="E175" i="20"/>
  <c r="E176" i="20"/>
  <c r="E177" i="20"/>
  <c r="E141" i="20"/>
  <c r="E140" i="20"/>
  <c r="E139" i="20"/>
  <c r="F141" i="20"/>
  <c r="F140" i="20"/>
  <c r="F139" i="20"/>
  <c r="F142" i="20"/>
  <c r="F143" i="20"/>
  <c r="E143" i="20"/>
  <c r="E144" i="20"/>
  <c r="F144" i="20"/>
  <c r="E114" i="20"/>
  <c r="F114" i="20"/>
  <c r="E115" i="20"/>
  <c r="F115" i="20"/>
  <c r="E116" i="20"/>
  <c r="F116" i="20"/>
  <c r="E117" i="20"/>
  <c r="F117" i="20"/>
  <c r="E118" i="20"/>
  <c r="F118" i="20"/>
  <c r="E119" i="20"/>
  <c r="F119" i="20"/>
  <c r="E120" i="20"/>
  <c r="F120" i="20"/>
  <c r="E121" i="20"/>
  <c r="F121" i="20"/>
  <c r="E122" i="20"/>
  <c r="F122" i="20"/>
  <c r="E123" i="20"/>
  <c r="F123" i="20"/>
  <c r="E124" i="20"/>
  <c r="F124" i="20"/>
  <c r="E125" i="20"/>
  <c r="F125" i="20"/>
  <c r="E126" i="20"/>
  <c r="F126" i="20"/>
  <c r="E127" i="20"/>
  <c r="F127" i="20"/>
  <c r="E128" i="20"/>
  <c r="F128" i="20"/>
  <c r="E129" i="20"/>
  <c r="F129" i="20"/>
  <c r="E130" i="20"/>
  <c r="F130" i="20"/>
  <c r="E131" i="20"/>
  <c r="F131" i="20"/>
  <c r="E132" i="20"/>
  <c r="F132" i="20"/>
  <c r="E133" i="20"/>
  <c r="F133" i="20"/>
  <c r="E134" i="20"/>
  <c r="F134" i="20"/>
  <c r="E135" i="20"/>
  <c r="F135" i="20"/>
  <c r="E136" i="20"/>
  <c r="F136" i="20"/>
  <c r="E137" i="20"/>
  <c r="F137" i="20"/>
  <c r="E138" i="20"/>
  <c r="F138" i="20"/>
  <c r="E142" i="20"/>
  <c r="N3" i="20"/>
  <c r="F2" i="20"/>
  <c r="L4" i="20"/>
  <c r="L3" i="20"/>
  <c r="E2" i="20"/>
  <c r="N2" i="19"/>
  <c r="N3" i="19"/>
  <c r="L4" i="19"/>
  <c r="F245" i="19"/>
  <c r="F246" i="19"/>
  <c r="F247" i="19"/>
  <c r="F248" i="19"/>
  <c r="F249" i="19"/>
  <c r="F250" i="19"/>
  <c r="F251" i="19"/>
  <c r="F252" i="19"/>
  <c r="F253" i="19"/>
  <c r="F254" i="19"/>
  <c r="F255" i="19"/>
  <c r="F256" i="19"/>
  <c r="F257" i="19"/>
  <c r="F258" i="19"/>
  <c r="F259" i="19"/>
  <c r="F260" i="19"/>
  <c r="N5" i="19" s="1"/>
  <c r="F261" i="19"/>
  <c r="F262" i="19"/>
  <c r="F263" i="19"/>
  <c r="F264" i="19"/>
  <c r="F265" i="19"/>
  <c r="F266" i="19"/>
  <c r="F267" i="19"/>
  <c r="F268" i="19"/>
  <c r="F269" i="19"/>
  <c r="F270" i="19"/>
  <c r="F271" i="19"/>
  <c r="F272" i="19"/>
  <c r="F273" i="19"/>
  <c r="F274" i="19"/>
  <c r="E274" i="19"/>
  <c r="E241" i="19"/>
  <c r="E245" i="19"/>
  <c r="E246" i="19"/>
  <c r="E247" i="19"/>
  <c r="E248" i="19"/>
  <c r="E249" i="19"/>
  <c r="E250" i="19"/>
  <c r="E251" i="19"/>
  <c r="E252" i="19"/>
  <c r="E253" i="19"/>
  <c r="E254" i="19"/>
  <c r="E255" i="19"/>
  <c r="E256" i="19"/>
  <c r="E257" i="19"/>
  <c r="E258" i="19"/>
  <c r="E259" i="19"/>
  <c r="E260" i="19"/>
  <c r="E261" i="19"/>
  <c r="E262" i="19"/>
  <c r="E263" i="19"/>
  <c r="E264" i="19"/>
  <c r="E265" i="19"/>
  <c r="E266" i="19"/>
  <c r="E267" i="19"/>
  <c r="E268" i="19"/>
  <c r="E269" i="19"/>
  <c r="E270" i="19"/>
  <c r="E271" i="19"/>
  <c r="E272" i="19"/>
  <c r="E273" i="19"/>
  <c r="F84" i="20"/>
  <c r="F85" i="20"/>
  <c r="F86" i="20"/>
  <c r="F87" i="20"/>
  <c r="F88" i="20"/>
  <c r="F89" i="20"/>
  <c r="F90" i="20"/>
  <c r="F91" i="20"/>
  <c r="F92" i="20"/>
  <c r="F93" i="20"/>
  <c r="F94" i="20"/>
  <c r="F95" i="20"/>
  <c r="F96" i="20"/>
  <c r="F97" i="20"/>
  <c r="F98" i="20"/>
  <c r="F99" i="20"/>
  <c r="F100" i="20"/>
  <c r="F101" i="20"/>
  <c r="F102" i="20"/>
  <c r="F103" i="20"/>
  <c r="F104" i="20"/>
  <c r="F105" i="20"/>
  <c r="F106" i="20"/>
  <c r="F107" i="20"/>
  <c r="F108" i="20"/>
  <c r="F109" i="20"/>
  <c r="F110" i="20"/>
  <c r="F111" i="20"/>
  <c r="F112" i="20"/>
  <c r="F113" i="20"/>
  <c r="E84" i="20"/>
  <c r="E85" i="20"/>
  <c r="E86" i="20"/>
  <c r="E87" i="20"/>
  <c r="E88" i="20"/>
  <c r="E89" i="20"/>
  <c r="E90" i="20"/>
  <c r="E91" i="20"/>
  <c r="E92" i="20"/>
  <c r="E93" i="20"/>
  <c r="E94" i="20"/>
  <c r="E95" i="20"/>
  <c r="E96" i="20"/>
  <c r="E97" i="20"/>
  <c r="E98" i="20"/>
  <c r="E99" i="20"/>
  <c r="E100" i="20"/>
  <c r="E101" i="20"/>
  <c r="E102" i="20"/>
  <c r="E103" i="20"/>
  <c r="E104" i="20"/>
  <c r="E105" i="20"/>
  <c r="E106" i="20"/>
  <c r="E107" i="20"/>
  <c r="E108" i="20"/>
  <c r="E109" i="20"/>
  <c r="E110" i="20"/>
  <c r="E111" i="20"/>
  <c r="E112" i="20"/>
  <c r="E113" i="20"/>
  <c r="J4" i="19"/>
  <c r="N4" i="19"/>
  <c r="L3" i="19"/>
  <c r="J3" i="19"/>
  <c r="F214" i="19"/>
  <c r="F215" i="19"/>
  <c r="F216" i="19"/>
  <c r="F217" i="19"/>
  <c r="F218" i="19"/>
  <c r="F219" i="19"/>
  <c r="F220" i="19"/>
  <c r="F221" i="19"/>
  <c r="F222" i="19"/>
  <c r="F223" i="19"/>
  <c r="F224" i="19"/>
  <c r="F225" i="19"/>
  <c r="F226" i="19"/>
  <c r="F227" i="19"/>
  <c r="F228" i="19"/>
  <c r="F229" i="19"/>
  <c r="F230" i="19"/>
  <c r="F231" i="19"/>
  <c r="F232" i="19"/>
  <c r="F233" i="19"/>
  <c r="F234" i="19"/>
  <c r="F235" i="19"/>
  <c r="F236" i="19"/>
  <c r="F237" i="19"/>
  <c r="F238" i="19"/>
  <c r="F239" i="19"/>
  <c r="F240" i="19"/>
  <c r="F241" i="19"/>
  <c r="F242" i="19"/>
  <c r="F243" i="19"/>
  <c r="F244" i="19"/>
  <c r="E214" i="19"/>
  <c r="E215" i="19"/>
  <c r="E216" i="19"/>
  <c r="E217" i="19"/>
  <c r="E218" i="19"/>
  <c r="E219" i="19"/>
  <c r="E220" i="19"/>
  <c r="E221" i="19"/>
  <c r="E222" i="19"/>
  <c r="E223" i="19"/>
  <c r="E224" i="19"/>
  <c r="E225" i="19"/>
  <c r="E226" i="19"/>
  <c r="E227" i="19"/>
  <c r="E228" i="19"/>
  <c r="E229" i="19"/>
  <c r="E230" i="19"/>
  <c r="E231" i="19"/>
  <c r="E232" i="19"/>
  <c r="E233" i="19"/>
  <c r="E234" i="19"/>
  <c r="E235" i="19"/>
  <c r="E236" i="19"/>
  <c r="E237" i="19"/>
  <c r="E238" i="19"/>
  <c r="E239" i="19"/>
  <c r="E240" i="19"/>
  <c r="E242" i="19"/>
  <c r="E243" i="19"/>
  <c r="E244" i="19"/>
  <c r="E213" i="19"/>
  <c r="L2" i="19"/>
  <c r="F69" i="20"/>
  <c r="F70" i="20"/>
  <c r="F71" i="20"/>
  <c r="F72" i="20"/>
  <c r="F73" i="20"/>
  <c r="F74" i="20"/>
  <c r="F75" i="20"/>
  <c r="F76" i="20"/>
  <c r="F77" i="20"/>
  <c r="F78" i="20"/>
  <c r="F79" i="20"/>
  <c r="F80" i="20"/>
  <c r="F81" i="20"/>
  <c r="F82" i="20"/>
  <c r="F83" i="20"/>
  <c r="E69" i="20"/>
  <c r="E70" i="20"/>
  <c r="E71" i="20"/>
  <c r="E72" i="20"/>
  <c r="E73" i="20"/>
  <c r="E74" i="20"/>
  <c r="E75" i="20"/>
  <c r="E76" i="20"/>
  <c r="E77" i="20"/>
  <c r="E78" i="20"/>
  <c r="E79" i="20"/>
  <c r="E80" i="20"/>
  <c r="E81" i="20"/>
  <c r="E82" i="20"/>
  <c r="E83" i="20"/>
  <c r="F132" i="19"/>
  <c r="F133" i="19"/>
  <c r="F134" i="19"/>
  <c r="F135" i="19"/>
  <c r="F136" i="19"/>
  <c r="F137" i="19"/>
  <c r="F138" i="19"/>
  <c r="F139" i="19"/>
  <c r="F140" i="19"/>
  <c r="F141" i="19"/>
  <c r="F142" i="19"/>
  <c r="F143" i="19"/>
  <c r="F144" i="19"/>
  <c r="F145" i="19"/>
  <c r="F146" i="19"/>
  <c r="F147" i="19"/>
  <c r="F148" i="19"/>
  <c r="F149" i="19"/>
  <c r="F150" i="19"/>
  <c r="F151" i="19"/>
  <c r="F152" i="19"/>
  <c r="F153" i="19"/>
  <c r="F154" i="19"/>
  <c r="BW21" i="19" s="1"/>
  <c r="F155" i="19"/>
  <c r="F156" i="19"/>
  <c r="F157" i="19"/>
  <c r="F158" i="19"/>
  <c r="F159" i="19"/>
  <c r="F160" i="19"/>
  <c r="F161" i="19"/>
  <c r="F162" i="19"/>
  <c r="F163" i="19"/>
  <c r="F164" i="19"/>
  <c r="F165" i="19"/>
  <c r="F166" i="19"/>
  <c r="F167" i="19"/>
  <c r="F168" i="19"/>
  <c r="F169" i="19"/>
  <c r="F170" i="19"/>
  <c r="F171" i="19"/>
  <c r="F172" i="19"/>
  <c r="F173" i="19"/>
  <c r="F174" i="19"/>
  <c r="F175" i="19"/>
  <c r="F176" i="19"/>
  <c r="F177" i="19"/>
  <c r="F178" i="19"/>
  <c r="F179" i="19"/>
  <c r="F180" i="19"/>
  <c r="F181" i="19"/>
  <c r="F182" i="19"/>
  <c r="F183" i="19"/>
  <c r="F184" i="19"/>
  <c r="F185" i="19"/>
  <c r="F186" i="19"/>
  <c r="F187" i="19"/>
  <c r="F188" i="19"/>
  <c r="F189" i="19"/>
  <c r="F190" i="19"/>
  <c r="F191" i="19"/>
  <c r="F192" i="19"/>
  <c r="F193" i="19"/>
  <c r="F194" i="19"/>
  <c r="F195" i="19"/>
  <c r="F196" i="19"/>
  <c r="F197" i="19"/>
  <c r="F198" i="19"/>
  <c r="F199" i="19"/>
  <c r="F200" i="19"/>
  <c r="F201" i="19"/>
  <c r="F202" i="19"/>
  <c r="F203" i="19"/>
  <c r="F204" i="19"/>
  <c r="F205" i="19"/>
  <c r="F206" i="19"/>
  <c r="F207" i="19"/>
  <c r="F208" i="19"/>
  <c r="F209" i="19"/>
  <c r="F211" i="19"/>
  <c r="F212" i="19"/>
  <c r="F213" i="19"/>
  <c r="F131" i="19"/>
  <c r="E133" i="19"/>
  <c r="E134" i="19"/>
  <c r="E135" i="19"/>
  <c r="E136" i="19"/>
  <c r="E137" i="19"/>
  <c r="E138" i="19"/>
  <c r="E139" i="19"/>
  <c r="E140" i="19"/>
  <c r="E141" i="19"/>
  <c r="E142" i="19"/>
  <c r="E143" i="19"/>
  <c r="E144" i="19"/>
  <c r="E145" i="19"/>
  <c r="E146" i="19"/>
  <c r="E147" i="19"/>
  <c r="E148" i="19"/>
  <c r="E149" i="19"/>
  <c r="E150" i="19"/>
  <c r="E151" i="19"/>
  <c r="E152" i="19"/>
  <c r="E153" i="19"/>
  <c r="E154" i="19"/>
  <c r="E155" i="19"/>
  <c r="BU21" i="19" s="1"/>
  <c r="E156" i="19"/>
  <c r="E157" i="19"/>
  <c r="E158" i="19"/>
  <c r="E159" i="19"/>
  <c r="E160" i="19"/>
  <c r="E161" i="19"/>
  <c r="E162" i="19"/>
  <c r="E163" i="19"/>
  <c r="E164" i="19"/>
  <c r="E165" i="19"/>
  <c r="E166" i="19"/>
  <c r="E167" i="19"/>
  <c r="E168" i="19"/>
  <c r="E169" i="19"/>
  <c r="E170" i="19"/>
  <c r="E171" i="19"/>
  <c r="E172" i="19"/>
  <c r="E173" i="19"/>
  <c r="E174" i="19"/>
  <c r="E175" i="19"/>
  <c r="E176" i="19"/>
  <c r="E177" i="19"/>
  <c r="E178" i="19"/>
  <c r="E179" i="19"/>
  <c r="E180" i="19"/>
  <c r="E181" i="19"/>
  <c r="E182" i="19"/>
  <c r="E183" i="19"/>
  <c r="E184" i="19"/>
  <c r="E185" i="19"/>
  <c r="E186" i="19"/>
  <c r="E187" i="19"/>
  <c r="E188" i="19"/>
  <c r="E189" i="19"/>
  <c r="E190" i="19"/>
  <c r="E191" i="19"/>
  <c r="E192" i="19"/>
  <c r="E193" i="19"/>
  <c r="E194" i="19"/>
  <c r="E195" i="19"/>
  <c r="E196" i="19"/>
  <c r="E197" i="19"/>
  <c r="E198" i="19"/>
  <c r="E199" i="19"/>
  <c r="E200" i="19"/>
  <c r="E201" i="19"/>
  <c r="E202" i="19"/>
  <c r="E203" i="19"/>
  <c r="E204" i="19"/>
  <c r="E205" i="19"/>
  <c r="E206" i="19"/>
  <c r="E207" i="19"/>
  <c r="E208" i="19"/>
  <c r="E209" i="19"/>
  <c r="E210" i="19"/>
  <c r="E211" i="19"/>
  <c r="E212" i="19"/>
  <c r="E132" i="19"/>
  <c r="BS21" i="19"/>
  <c r="BV21" i="19" s="1"/>
  <c r="N12" i="19"/>
  <c r="N11" i="19"/>
  <c r="N10" i="19"/>
  <c r="N9" i="19"/>
  <c r="N8" i="19"/>
  <c r="F2" i="18"/>
  <c r="E2" i="18"/>
  <c r="L2" i="20"/>
  <c r="F3" i="20"/>
  <c r="F4" i="20"/>
  <c r="F5" i="20"/>
  <c r="F6" i="20"/>
  <c r="F7" i="20"/>
  <c r="F8" i="20"/>
  <c r="F9" i="20"/>
  <c r="F10" i="20"/>
  <c r="F11" i="20"/>
  <c r="F12" i="20"/>
  <c r="F13" i="20"/>
  <c r="F14" i="20"/>
  <c r="F15" i="20"/>
  <c r="F16" i="20"/>
  <c r="F17" i="20"/>
  <c r="F18" i="20"/>
  <c r="F19" i="20"/>
  <c r="F20" i="20"/>
  <c r="F21" i="20"/>
  <c r="F22" i="20"/>
  <c r="F23" i="20"/>
  <c r="F24" i="20"/>
  <c r="F25" i="20"/>
  <c r="F26" i="20"/>
  <c r="F27" i="20"/>
  <c r="F28" i="20"/>
  <c r="F29" i="20"/>
  <c r="F30" i="20"/>
  <c r="F31" i="20"/>
  <c r="F32" i="20"/>
  <c r="F33" i="20"/>
  <c r="F34" i="20"/>
  <c r="F35" i="20"/>
  <c r="F36" i="20"/>
  <c r="F37" i="20"/>
  <c r="F38" i="20"/>
  <c r="F39" i="20"/>
  <c r="F40" i="20"/>
  <c r="F41" i="20"/>
  <c r="F42" i="20"/>
  <c r="F43" i="20"/>
  <c r="F44" i="20"/>
  <c r="F45" i="20"/>
  <c r="F46" i="20"/>
  <c r="F47" i="20"/>
  <c r="F48" i="20"/>
  <c r="F49" i="20"/>
  <c r="F50" i="20"/>
  <c r="F51" i="20"/>
  <c r="F52" i="20"/>
  <c r="F53" i="20"/>
  <c r="F54" i="20"/>
  <c r="F55" i="20"/>
  <c r="F56" i="20"/>
  <c r="F57" i="20"/>
  <c r="F58" i="20"/>
  <c r="F59" i="20"/>
  <c r="F60" i="20"/>
  <c r="F61" i="20"/>
  <c r="F62" i="20"/>
  <c r="F63" i="20"/>
  <c r="F64" i="20"/>
  <c r="F65" i="20"/>
  <c r="F66" i="20"/>
  <c r="F67" i="20"/>
  <c r="F68" i="20"/>
  <c r="E3" i="20"/>
  <c r="E4" i="20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22" i="20"/>
  <c r="E23" i="20"/>
  <c r="E24" i="20"/>
  <c r="E25" i="20"/>
  <c r="E26" i="20"/>
  <c r="E27" i="20"/>
  <c r="E28" i="20"/>
  <c r="E29" i="20"/>
  <c r="E30" i="20"/>
  <c r="E31" i="20"/>
  <c r="E32" i="20"/>
  <c r="E33" i="20"/>
  <c r="E34" i="20"/>
  <c r="E35" i="20"/>
  <c r="E36" i="20"/>
  <c r="E37" i="20"/>
  <c r="E38" i="20"/>
  <c r="E39" i="20"/>
  <c r="E40" i="20"/>
  <c r="E41" i="20"/>
  <c r="E42" i="20"/>
  <c r="E43" i="20"/>
  <c r="E44" i="20"/>
  <c r="E45" i="20"/>
  <c r="E46" i="20"/>
  <c r="E47" i="20"/>
  <c r="E48" i="20"/>
  <c r="E49" i="20"/>
  <c r="E50" i="20"/>
  <c r="E51" i="20"/>
  <c r="E52" i="20"/>
  <c r="E53" i="20"/>
  <c r="E54" i="20"/>
  <c r="E55" i="20"/>
  <c r="E56" i="20"/>
  <c r="E57" i="20"/>
  <c r="E58" i="20"/>
  <c r="E59" i="20"/>
  <c r="E60" i="20"/>
  <c r="E61" i="20"/>
  <c r="E62" i="20"/>
  <c r="E63" i="20"/>
  <c r="E64" i="20"/>
  <c r="E65" i="20"/>
  <c r="E66" i="20"/>
  <c r="E67" i="20"/>
  <c r="E68" i="20"/>
  <c r="J13" i="20"/>
  <c r="M13" i="20" s="1"/>
  <c r="F365" i="18"/>
  <c r="F362" i="18"/>
  <c r="F363" i="18"/>
  <c r="F364" i="18"/>
  <c r="F366" i="18"/>
  <c r="F361" i="18"/>
  <c r="E367" i="18"/>
  <c r="E362" i="18"/>
  <c r="E363" i="18"/>
  <c r="E364" i="18"/>
  <c r="E365" i="18"/>
  <c r="E366" i="18"/>
  <c r="E361" i="18"/>
  <c r="F10" i="19"/>
  <c r="F6" i="1"/>
  <c r="N30" i="1"/>
  <c r="F2" i="19"/>
  <c r="F3" i="19"/>
  <c r="F4" i="19"/>
  <c r="F5" i="19"/>
  <c r="F6" i="19"/>
  <c r="F7" i="19"/>
  <c r="F8" i="19"/>
  <c r="F9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23" i="19"/>
  <c r="F24" i="19"/>
  <c r="F25" i="19"/>
  <c r="F26" i="19"/>
  <c r="F27" i="19"/>
  <c r="F28" i="19"/>
  <c r="F29" i="19"/>
  <c r="F30" i="19"/>
  <c r="F31" i="19"/>
  <c r="F32" i="19"/>
  <c r="F33" i="19"/>
  <c r="F34" i="19"/>
  <c r="F35" i="19"/>
  <c r="F36" i="19"/>
  <c r="F37" i="19"/>
  <c r="F38" i="19"/>
  <c r="F39" i="19"/>
  <c r="F40" i="19"/>
  <c r="F41" i="19"/>
  <c r="F42" i="19"/>
  <c r="F43" i="19"/>
  <c r="F44" i="19"/>
  <c r="F45" i="19"/>
  <c r="F46" i="19"/>
  <c r="F47" i="19"/>
  <c r="F48" i="19"/>
  <c r="F49" i="19"/>
  <c r="F50" i="19"/>
  <c r="F51" i="19"/>
  <c r="F52" i="19"/>
  <c r="F53" i="19"/>
  <c r="F54" i="19"/>
  <c r="F55" i="19"/>
  <c r="F56" i="19"/>
  <c r="F57" i="19"/>
  <c r="F58" i="19"/>
  <c r="F59" i="19"/>
  <c r="F60" i="19"/>
  <c r="F61" i="19"/>
  <c r="F62" i="19"/>
  <c r="F63" i="19"/>
  <c r="F64" i="19"/>
  <c r="F65" i="19"/>
  <c r="F66" i="19"/>
  <c r="F67" i="19"/>
  <c r="F68" i="19"/>
  <c r="F69" i="19"/>
  <c r="F70" i="19"/>
  <c r="F71" i="19"/>
  <c r="F72" i="19"/>
  <c r="F73" i="19"/>
  <c r="F74" i="19"/>
  <c r="F75" i="19"/>
  <c r="F76" i="19"/>
  <c r="F77" i="19"/>
  <c r="F78" i="19"/>
  <c r="F79" i="19"/>
  <c r="F80" i="19"/>
  <c r="F81" i="19"/>
  <c r="F82" i="19"/>
  <c r="F83" i="19"/>
  <c r="F84" i="19"/>
  <c r="F85" i="19"/>
  <c r="F86" i="19"/>
  <c r="F87" i="19"/>
  <c r="F88" i="19"/>
  <c r="F89" i="19"/>
  <c r="F90" i="19"/>
  <c r="F91" i="19"/>
  <c r="F92" i="19"/>
  <c r="F93" i="19"/>
  <c r="F94" i="19"/>
  <c r="F95" i="19"/>
  <c r="F96" i="19"/>
  <c r="F97" i="19"/>
  <c r="F98" i="19"/>
  <c r="F99" i="19"/>
  <c r="F100" i="19"/>
  <c r="F101" i="19"/>
  <c r="F102" i="19"/>
  <c r="F103" i="19"/>
  <c r="F104" i="19"/>
  <c r="F105" i="19"/>
  <c r="F106" i="19"/>
  <c r="F107" i="19"/>
  <c r="F108" i="19"/>
  <c r="F109" i="19"/>
  <c r="F110" i="19"/>
  <c r="F111" i="19"/>
  <c r="F112" i="19"/>
  <c r="F113" i="19"/>
  <c r="F114" i="19"/>
  <c r="F115" i="19"/>
  <c r="F116" i="19"/>
  <c r="F117" i="19"/>
  <c r="F118" i="19"/>
  <c r="F119" i="19"/>
  <c r="F120" i="19"/>
  <c r="F122" i="19"/>
  <c r="F123" i="19"/>
  <c r="F124" i="19"/>
  <c r="F125" i="19"/>
  <c r="F126" i="19"/>
  <c r="F127" i="19"/>
  <c r="F128" i="19"/>
  <c r="F129" i="19"/>
  <c r="F130" i="19"/>
  <c r="F121" i="19"/>
  <c r="E4" i="18"/>
  <c r="E8" i="19"/>
  <c r="E2" i="19"/>
  <c r="L8" i="19" s="1"/>
  <c r="E3" i="19"/>
  <c r="E4" i="19"/>
  <c r="E5" i="19"/>
  <c r="E6" i="19"/>
  <c r="E7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7" i="19"/>
  <c r="E28" i="19"/>
  <c r="E29" i="19"/>
  <c r="E30" i="19"/>
  <c r="E31" i="19"/>
  <c r="E32" i="19"/>
  <c r="E33" i="19"/>
  <c r="E34" i="19"/>
  <c r="E35" i="19"/>
  <c r="E36" i="19"/>
  <c r="E37" i="19"/>
  <c r="E38" i="19"/>
  <c r="E39" i="19"/>
  <c r="E40" i="19"/>
  <c r="E41" i="19"/>
  <c r="L10" i="19" s="1"/>
  <c r="E42" i="19"/>
  <c r="E43" i="19"/>
  <c r="E44" i="19"/>
  <c r="E45" i="19"/>
  <c r="E46" i="19"/>
  <c r="E47" i="19"/>
  <c r="E48" i="19"/>
  <c r="E49" i="19"/>
  <c r="E50" i="19"/>
  <c r="E51" i="19"/>
  <c r="E52" i="19"/>
  <c r="E53" i="19"/>
  <c r="E54" i="19"/>
  <c r="E55" i="19"/>
  <c r="E56" i="19"/>
  <c r="E57" i="19"/>
  <c r="E58" i="19"/>
  <c r="E59" i="19"/>
  <c r="E60" i="19"/>
  <c r="E61" i="19"/>
  <c r="E62" i="19"/>
  <c r="E63" i="19"/>
  <c r="E64" i="19"/>
  <c r="E65" i="19"/>
  <c r="E66" i="19"/>
  <c r="E67" i="19"/>
  <c r="E68" i="19"/>
  <c r="E69" i="19"/>
  <c r="E70" i="19"/>
  <c r="E71" i="19"/>
  <c r="E72" i="19"/>
  <c r="E73" i="19"/>
  <c r="E74" i="19"/>
  <c r="E75" i="19"/>
  <c r="E76" i="19"/>
  <c r="E77" i="19"/>
  <c r="E78" i="19"/>
  <c r="E79" i="19"/>
  <c r="E80" i="19"/>
  <c r="E81" i="19"/>
  <c r="E82" i="19"/>
  <c r="E83" i="19"/>
  <c r="E84" i="19"/>
  <c r="E85" i="19"/>
  <c r="E86" i="19"/>
  <c r="E87" i="19"/>
  <c r="E88" i="19"/>
  <c r="E89" i="19"/>
  <c r="E90" i="19"/>
  <c r="E91" i="19"/>
  <c r="E92" i="19"/>
  <c r="E93" i="19"/>
  <c r="E94" i="19"/>
  <c r="E95" i="19"/>
  <c r="E96" i="19"/>
  <c r="E97" i="19"/>
  <c r="E98" i="19"/>
  <c r="E99" i="19"/>
  <c r="E100" i="19"/>
  <c r="E101" i="19"/>
  <c r="E102" i="19"/>
  <c r="E103" i="19"/>
  <c r="E104" i="19"/>
  <c r="E105" i="19"/>
  <c r="E106" i="19"/>
  <c r="E107" i="19"/>
  <c r="E108" i="19"/>
  <c r="E109" i="19"/>
  <c r="E110" i="19"/>
  <c r="E111" i="19"/>
  <c r="E112" i="19"/>
  <c r="E113" i="19"/>
  <c r="E114" i="19"/>
  <c r="E115" i="19"/>
  <c r="E116" i="19"/>
  <c r="E117" i="19"/>
  <c r="E118" i="19"/>
  <c r="E119" i="19"/>
  <c r="E120" i="19"/>
  <c r="E122" i="19"/>
  <c r="E123" i="19"/>
  <c r="E124" i="19"/>
  <c r="E125" i="19"/>
  <c r="E126" i="19"/>
  <c r="E127" i="19"/>
  <c r="E128" i="19"/>
  <c r="E129" i="19"/>
  <c r="E130" i="19"/>
  <c r="E131" i="19"/>
  <c r="E121" i="19"/>
  <c r="L11" i="19"/>
  <c r="L9" i="19"/>
  <c r="BT21" i="19"/>
  <c r="F3" i="18"/>
  <c r="F4" i="18"/>
  <c r="F5" i="18"/>
  <c r="F6" i="18"/>
  <c r="F7" i="18"/>
  <c r="F8" i="18"/>
  <c r="F9" i="18"/>
  <c r="F10" i="18"/>
  <c r="F11" i="18"/>
  <c r="F12" i="18"/>
  <c r="F13" i="18"/>
  <c r="F14" i="18"/>
  <c r="F15" i="18"/>
  <c r="F16" i="18"/>
  <c r="F17" i="18"/>
  <c r="F18" i="18"/>
  <c r="F19" i="18"/>
  <c r="F20" i="18"/>
  <c r="F21" i="18"/>
  <c r="F22" i="18"/>
  <c r="F23" i="18"/>
  <c r="F24" i="18"/>
  <c r="F25" i="18"/>
  <c r="F26" i="18"/>
  <c r="F27" i="18"/>
  <c r="F28" i="18"/>
  <c r="F29" i="18"/>
  <c r="F30" i="18"/>
  <c r="F31" i="18"/>
  <c r="F32" i="18"/>
  <c r="F33" i="18"/>
  <c r="F34" i="18"/>
  <c r="F35" i="18"/>
  <c r="F36" i="18"/>
  <c r="F37" i="18"/>
  <c r="F38" i="18"/>
  <c r="F39" i="18"/>
  <c r="F40" i="18"/>
  <c r="F41" i="18"/>
  <c r="F42" i="18"/>
  <c r="F43" i="18"/>
  <c r="F44" i="18"/>
  <c r="F45" i="18"/>
  <c r="F46" i="18"/>
  <c r="F47" i="18"/>
  <c r="F48" i="18"/>
  <c r="F49" i="18"/>
  <c r="F50" i="18"/>
  <c r="F51" i="18"/>
  <c r="F52" i="18"/>
  <c r="F54" i="18"/>
  <c r="F55" i="18"/>
  <c r="F56" i="18"/>
  <c r="F57" i="18"/>
  <c r="F58" i="18"/>
  <c r="F59" i="18"/>
  <c r="F60" i="18"/>
  <c r="F61" i="18"/>
  <c r="F62" i="18"/>
  <c r="F63" i="18"/>
  <c r="F64" i="18"/>
  <c r="F65" i="18"/>
  <c r="F66" i="18"/>
  <c r="F67" i="18"/>
  <c r="F68" i="18"/>
  <c r="F69" i="18"/>
  <c r="F70" i="18"/>
  <c r="F71" i="18"/>
  <c r="F72" i="18"/>
  <c r="F73" i="18"/>
  <c r="F74" i="18"/>
  <c r="F75" i="18"/>
  <c r="F76" i="18"/>
  <c r="F77" i="18"/>
  <c r="F78" i="18"/>
  <c r="F79" i="18"/>
  <c r="F80" i="18"/>
  <c r="F81" i="18"/>
  <c r="F82" i="18"/>
  <c r="F83" i="18"/>
  <c r="F84" i="18"/>
  <c r="F85" i="18"/>
  <c r="F86" i="18"/>
  <c r="F87" i="18"/>
  <c r="F88" i="18"/>
  <c r="F89" i="18"/>
  <c r="F90" i="18"/>
  <c r="F91" i="18"/>
  <c r="F92" i="18"/>
  <c r="F93" i="18"/>
  <c r="F94" i="18"/>
  <c r="F95" i="18"/>
  <c r="F96" i="18"/>
  <c r="F97" i="18"/>
  <c r="F98" i="18"/>
  <c r="F99" i="18"/>
  <c r="F100" i="18"/>
  <c r="F101" i="18"/>
  <c r="F102" i="18"/>
  <c r="F103" i="18"/>
  <c r="F104" i="18"/>
  <c r="F105" i="18"/>
  <c r="F106" i="18"/>
  <c r="F107" i="18"/>
  <c r="F108" i="18"/>
  <c r="F109" i="18"/>
  <c r="F110" i="18"/>
  <c r="F111" i="18"/>
  <c r="F112" i="18"/>
  <c r="F113" i="18"/>
  <c r="F114" i="18"/>
  <c r="F115" i="18"/>
  <c r="F116" i="18"/>
  <c r="F117" i="18"/>
  <c r="F118" i="18"/>
  <c r="F119" i="18"/>
  <c r="F120" i="18"/>
  <c r="F121" i="18"/>
  <c r="F122" i="18"/>
  <c r="F123" i="18"/>
  <c r="F124" i="18"/>
  <c r="F125" i="18"/>
  <c r="F126" i="18"/>
  <c r="F127" i="18"/>
  <c r="F128" i="18"/>
  <c r="F129" i="18"/>
  <c r="F130" i="18"/>
  <c r="F131" i="18"/>
  <c r="F132" i="18"/>
  <c r="F133" i="18"/>
  <c r="F134" i="18"/>
  <c r="F135" i="18"/>
  <c r="F136" i="18"/>
  <c r="F137" i="18"/>
  <c r="F138" i="18"/>
  <c r="F139" i="18"/>
  <c r="F140" i="18"/>
  <c r="F141" i="18"/>
  <c r="F142" i="18"/>
  <c r="F143" i="18"/>
  <c r="F144" i="18"/>
  <c r="F145" i="18"/>
  <c r="F146" i="18"/>
  <c r="F147" i="18"/>
  <c r="F148" i="18"/>
  <c r="F149" i="18"/>
  <c r="F150" i="18"/>
  <c r="F151" i="18"/>
  <c r="F152" i="18"/>
  <c r="F153" i="18"/>
  <c r="F154" i="18"/>
  <c r="F155" i="18"/>
  <c r="F156" i="18"/>
  <c r="F157" i="18"/>
  <c r="F158" i="18"/>
  <c r="F159" i="18"/>
  <c r="F160" i="18"/>
  <c r="F161" i="18"/>
  <c r="F162" i="18"/>
  <c r="F163" i="18"/>
  <c r="F164" i="18"/>
  <c r="F165" i="18"/>
  <c r="F166" i="18"/>
  <c r="F167" i="18"/>
  <c r="F168" i="18"/>
  <c r="F169" i="18"/>
  <c r="F170" i="18"/>
  <c r="F171" i="18"/>
  <c r="F172" i="18"/>
  <c r="F173" i="18"/>
  <c r="F174" i="18"/>
  <c r="F175" i="18"/>
  <c r="F176" i="18"/>
  <c r="F177" i="18"/>
  <c r="F178" i="18"/>
  <c r="F179" i="18"/>
  <c r="F180" i="18"/>
  <c r="F181" i="18"/>
  <c r="F182" i="18"/>
  <c r="F183" i="18"/>
  <c r="F184" i="18"/>
  <c r="F185" i="18"/>
  <c r="F186" i="18"/>
  <c r="F187" i="18"/>
  <c r="F188" i="18"/>
  <c r="F189" i="18"/>
  <c r="F190" i="18"/>
  <c r="F191" i="18"/>
  <c r="F192" i="18"/>
  <c r="F193" i="18"/>
  <c r="F194" i="18"/>
  <c r="F195" i="18"/>
  <c r="F196" i="18"/>
  <c r="F197" i="18"/>
  <c r="F198" i="18"/>
  <c r="F199" i="18"/>
  <c r="F200" i="18"/>
  <c r="F201" i="18"/>
  <c r="F202" i="18"/>
  <c r="F203" i="18"/>
  <c r="F204" i="18"/>
  <c r="F205" i="18"/>
  <c r="F206" i="18"/>
  <c r="F207" i="18"/>
  <c r="F208" i="18"/>
  <c r="F209" i="18"/>
  <c r="F210" i="18"/>
  <c r="F211" i="18"/>
  <c r="F212" i="18"/>
  <c r="F213" i="18"/>
  <c r="F214" i="18"/>
  <c r="F215" i="18"/>
  <c r="F216" i="18"/>
  <c r="F217" i="18"/>
  <c r="F218" i="18"/>
  <c r="F219" i="18"/>
  <c r="F220" i="18"/>
  <c r="F221" i="18"/>
  <c r="F222" i="18"/>
  <c r="F223" i="18"/>
  <c r="F224" i="18"/>
  <c r="F225" i="18"/>
  <c r="F226" i="18"/>
  <c r="F227" i="18"/>
  <c r="F228" i="18"/>
  <c r="F229" i="18"/>
  <c r="F230" i="18"/>
  <c r="F231" i="18"/>
  <c r="F232" i="18"/>
  <c r="F233" i="18"/>
  <c r="F234" i="18"/>
  <c r="F235" i="18"/>
  <c r="F236" i="18"/>
  <c r="F237" i="18"/>
  <c r="F238" i="18"/>
  <c r="F239" i="18"/>
  <c r="F240" i="18"/>
  <c r="F241" i="18"/>
  <c r="F242" i="18"/>
  <c r="F243" i="18"/>
  <c r="F244" i="18"/>
  <c r="F245" i="18"/>
  <c r="F246" i="18"/>
  <c r="F247" i="18"/>
  <c r="F248" i="18"/>
  <c r="F249" i="18"/>
  <c r="F250" i="18"/>
  <c r="F251" i="18"/>
  <c r="F252" i="18"/>
  <c r="F253" i="18"/>
  <c r="F254" i="18"/>
  <c r="F255" i="18"/>
  <c r="F256" i="18"/>
  <c r="F257" i="18"/>
  <c r="F258" i="18"/>
  <c r="F259" i="18"/>
  <c r="F260" i="18"/>
  <c r="F261" i="18"/>
  <c r="F262" i="18"/>
  <c r="F263" i="18"/>
  <c r="F264" i="18"/>
  <c r="F265" i="18"/>
  <c r="F266" i="18"/>
  <c r="F267" i="18"/>
  <c r="F268" i="18"/>
  <c r="F269" i="18"/>
  <c r="F270" i="18"/>
  <c r="F271" i="18"/>
  <c r="F272" i="18"/>
  <c r="F273" i="18"/>
  <c r="F274" i="18"/>
  <c r="F275" i="18"/>
  <c r="F276" i="18"/>
  <c r="F277" i="18"/>
  <c r="F278" i="18"/>
  <c r="F279" i="18"/>
  <c r="F280" i="18"/>
  <c r="F281" i="18"/>
  <c r="F282" i="18"/>
  <c r="F283" i="18"/>
  <c r="F284" i="18"/>
  <c r="F285" i="18"/>
  <c r="F286" i="18"/>
  <c r="F287" i="18"/>
  <c r="F288" i="18"/>
  <c r="F289" i="18"/>
  <c r="F290" i="18"/>
  <c r="F291" i="18"/>
  <c r="F292" i="18"/>
  <c r="F293" i="18"/>
  <c r="F294" i="18"/>
  <c r="F295" i="18"/>
  <c r="F296" i="18"/>
  <c r="F297" i="18"/>
  <c r="F298" i="18"/>
  <c r="F299" i="18"/>
  <c r="F300" i="18"/>
  <c r="F301" i="18"/>
  <c r="F302" i="18"/>
  <c r="F303" i="18"/>
  <c r="F304" i="18"/>
  <c r="F305" i="18"/>
  <c r="F306" i="18"/>
  <c r="F307" i="18"/>
  <c r="F308" i="18"/>
  <c r="F309" i="18"/>
  <c r="F310" i="18"/>
  <c r="F311" i="18"/>
  <c r="F312" i="18"/>
  <c r="F313" i="18"/>
  <c r="F314" i="18"/>
  <c r="F315" i="18"/>
  <c r="F316" i="18"/>
  <c r="F317" i="18"/>
  <c r="F318" i="18"/>
  <c r="F319" i="18"/>
  <c r="F320" i="18"/>
  <c r="F321" i="18"/>
  <c r="F322" i="18"/>
  <c r="F323" i="18"/>
  <c r="F324" i="18"/>
  <c r="F325" i="18"/>
  <c r="F326" i="18"/>
  <c r="F327" i="18"/>
  <c r="F328" i="18"/>
  <c r="F329" i="18"/>
  <c r="F330" i="18"/>
  <c r="F331" i="18"/>
  <c r="F332" i="18"/>
  <c r="F333" i="18"/>
  <c r="F334" i="18"/>
  <c r="F335" i="18"/>
  <c r="F336" i="18"/>
  <c r="F337" i="18"/>
  <c r="F338" i="18"/>
  <c r="F339" i="18"/>
  <c r="F340" i="18"/>
  <c r="F341" i="18"/>
  <c r="F342" i="18"/>
  <c r="F343" i="18"/>
  <c r="F344" i="18"/>
  <c r="F345" i="18"/>
  <c r="F346" i="18"/>
  <c r="F347" i="18"/>
  <c r="F348" i="18"/>
  <c r="F349" i="18"/>
  <c r="F350" i="18"/>
  <c r="F351" i="18"/>
  <c r="F352" i="18"/>
  <c r="F353" i="18"/>
  <c r="F354" i="18"/>
  <c r="F355" i="18"/>
  <c r="F356" i="18"/>
  <c r="F357" i="18"/>
  <c r="F358" i="18"/>
  <c r="F359" i="18"/>
  <c r="F360" i="18"/>
  <c r="N25" i="1"/>
  <c r="N26" i="1"/>
  <c r="N31" i="1"/>
  <c r="N27" i="1"/>
  <c r="N29" i="1"/>
  <c r="N34" i="1"/>
  <c r="N28" i="1"/>
  <c r="F2" i="1"/>
  <c r="N36" i="1"/>
  <c r="N32" i="1"/>
  <c r="N33" i="1"/>
  <c r="N35" i="1"/>
  <c r="E337" i="18"/>
  <c r="E338" i="18"/>
  <c r="E339" i="18"/>
  <c r="E340" i="18"/>
  <c r="E341" i="18"/>
  <c r="E342" i="18"/>
  <c r="E343" i="18"/>
  <c r="E344" i="18"/>
  <c r="E345" i="18"/>
  <c r="E346" i="18"/>
  <c r="E347" i="18"/>
  <c r="E348" i="18"/>
  <c r="E349" i="18"/>
  <c r="E350" i="18"/>
  <c r="E351" i="18"/>
  <c r="E352" i="18"/>
  <c r="E353" i="18"/>
  <c r="E354" i="18"/>
  <c r="E355" i="18"/>
  <c r="E356" i="18"/>
  <c r="E357" i="18"/>
  <c r="E358" i="18"/>
  <c r="E359" i="18"/>
  <c r="E360" i="18"/>
  <c r="E325" i="18"/>
  <c r="E326" i="18"/>
  <c r="E327" i="18"/>
  <c r="E328" i="18"/>
  <c r="E329" i="18"/>
  <c r="E330" i="18"/>
  <c r="E331" i="18"/>
  <c r="E332" i="18"/>
  <c r="E333" i="18"/>
  <c r="E334" i="18"/>
  <c r="E335" i="18"/>
  <c r="E336" i="18"/>
  <c r="E324" i="18"/>
  <c r="E3" i="18"/>
  <c r="E5" i="18"/>
  <c r="E6" i="18"/>
  <c r="E7" i="18"/>
  <c r="E8" i="18"/>
  <c r="E9" i="18"/>
  <c r="E10" i="18"/>
  <c r="E11" i="18"/>
  <c r="E12" i="18"/>
  <c r="E13" i="18"/>
  <c r="E14" i="18"/>
  <c r="E15" i="18"/>
  <c r="E16" i="18"/>
  <c r="E17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36" i="18"/>
  <c r="E37" i="18"/>
  <c r="E38" i="18"/>
  <c r="E39" i="18"/>
  <c r="E40" i="18"/>
  <c r="E41" i="18"/>
  <c r="E42" i="18"/>
  <c r="E43" i="18"/>
  <c r="E44" i="18"/>
  <c r="E45" i="18"/>
  <c r="E46" i="18"/>
  <c r="E47" i="18"/>
  <c r="E48" i="18"/>
  <c r="E49" i="18"/>
  <c r="E50" i="18"/>
  <c r="E51" i="18"/>
  <c r="E52" i="18"/>
  <c r="E53" i="18"/>
  <c r="E54" i="18"/>
  <c r="E55" i="18"/>
  <c r="E56" i="18"/>
  <c r="E57" i="18"/>
  <c r="E58" i="18"/>
  <c r="E59" i="18"/>
  <c r="E60" i="18"/>
  <c r="E61" i="18"/>
  <c r="E62" i="18"/>
  <c r="E63" i="18"/>
  <c r="E64" i="18"/>
  <c r="E65" i="18"/>
  <c r="E66" i="18"/>
  <c r="E67" i="18"/>
  <c r="E68" i="18"/>
  <c r="E69" i="18"/>
  <c r="E70" i="18"/>
  <c r="E71" i="18"/>
  <c r="E72" i="18"/>
  <c r="E73" i="18"/>
  <c r="E74" i="18"/>
  <c r="E75" i="18"/>
  <c r="E76" i="18"/>
  <c r="E77" i="18"/>
  <c r="E78" i="18"/>
  <c r="E79" i="18"/>
  <c r="E80" i="18"/>
  <c r="E81" i="18"/>
  <c r="E82" i="18"/>
  <c r="E83" i="18"/>
  <c r="E84" i="18"/>
  <c r="E85" i="18"/>
  <c r="E86" i="18"/>
  <c r="E87" i="18"/>
  <c r="E88" i="18"/>
  <c r="E89" i="18"/>
  <c r="E90" i="18"/>
  <c r="E91" i="18"/>
  <c r="E92" i="18"/>
  <c r="E93" i="18"/>
  <c r="E94" i="18"/>
  <c r="E95" i="18"/>
  <c r="E96" i="18"/>
  <c r="E97" i="18"/>
  <c r="E98" i="18"/>
  <c r="E99" i="18"/>
  <c r="E100" i="18"/>
  <c r="E101" i="18"/>
  <c r="E102" i="18"/>
  <c r="E103" i="18"/>
  <c r="E104" i="18"/>
  <c r="E105" i="18"/>
  <c r="E106" i="18"/>
  <c r="E107" i="18"/>
  <c r="E108" i="18"/>
  <c r="E109" i="18"/>
  <c r="E110" i="18"/>
  <c r="E111" i="18"/>
  <c r="E112" i="18"/>
  <c r="E113" i="18"/>
  <c r="E114" i="18"/>
  <c r="E115" i="18"/>
  <c r="E116" i="18"/>
  <c r="E117" i="18"/>
  <c r="E118" i="18"/>
  <c r="E119" i="18"/>
  <c r="E120" i="18"/>
  <c r="E121" i="18"/>
  <c r="E122" i="18"/>
  <c r="E123" i="18"/>
  <c r="E124" i="18"/>
  <c r="E125" i="18"/>
  <c r="E126" i="18"/>
  <c r="E127" i="18"/>
  <c r="E128" i="18"/>
  <c r="E129" i="18"/>
  <c r="E130" i="18"/>
  <c r="E131" i="18"/>
  <c r="E132" i="18"/>
  <c r="E133" i="18"/>
  <c r="E134" i="18"/>
  <c r="E135" i="18"/>
  <c r="E136" i="18"/>
  <c r="E137" i="18"/>
  <c r="E138" i="18"/>
  <c r="E139" i="18"/>
  <c r="E140" i="18"/>
  <c r="E141" i="18"/>
  <c r="E142" i="18"/>
  <c r="E143" i="18"/>
  <c r="E144" i="18"/>
  <c r="E145" i="18"/>
  <c r="E146" i="18"/>
  <c r="E147" i="18"/>
  <c r="E148" i="18"/>
  <c r="E149" i="18"/>
  <c r="E150" i="18"/>
  <c r="E151" i="18"/>
  <c r="E152" i="18"/>
  <c r="E153" i="18"/>
  <c r="E154" i="18"/>
  <c r="E155" i="18"/>
  <c r="E156" i="18"/>
  <c r="E157" i="18"/>
  <c r="E158" i="18"/>
  <c r="E159" i="18"/>
  <c r="E160" i="18"/>
  <c r="E161" i="18"/>
  <c r="E162" i="18"/>
  <c r="E163" i="18"/>
  <c r="E164" i="18"/>
  <c r="E165" i="18"/>
  <c r="E166" i="18"/>
  <c r="E167" i="18"/>
  <c r="E168" i="18"/>
  <c r="E169" i="18"/>
  <c r="E170" i="18"/>
  <c r="E171" i="18"/>
  <c r="E172" i="18"/>
  <c r="E173" i="18"/>
  <c r="E174" i="18"/>
  <c r="E175" i="18"/>
  <c r="E176" i="18"/>
  <c r="E177" i="18"/>
  <c r="E178" i="18"/>
  <c r="E179" i="18"/>
  <c r="E180" i="18"/>
  <c r="E181" i="18"/>
  <c r="E182" i="18"/>
  <c r="E183" i="18"/>
  <c r="E184" i="18"/>
  <c r="E185" i="18"/>
  <c r="E186" i="18"/>
  <c r="E187" i="18"/>
  <c r="E188" i="18"/>
  <c r="E189" i="18"/>
  <c r="E190" i="18"/>
  <c r="E191" i="18"/>
  <c r="E192" i="18"/>
  <c r="E193" i="18"/>
  <c r="E194" i="18"/>
  <c r="E195" i="18"/>
  <c r="E196" i="18"/>
  <c r="E197" i="18"/>
  <c r="E198" i="18"/>
  <c r="E199" i="18"/>
  <c r="E200" i="18"/>
  <c r="E201" i="18"/>
  <c r="E202" i="18"/>
  <c r="E203" i="18"/>
  <c r="E204" i="18"/>
  <c r="E205" i="18"/>
  <c r="E206" i="18"/>
  <c r="E207" i="18"/>
  <c r="E208" i="18"/>
  <c r="E209" i="18"/>
  <c r="E210" i="18"/>
  <c r="E211" i="18"/>
  <c r="E212" i="18"/>
  <c r="E213" i="18"/>
  <c r="E214" i="18"/>
  <c r="E215" i="18"/>
  <c r="E216" i="18"/>
  <c r="E217" i="18"/>
  <c r="E218" i="18"/>
  <c r="E219" i="18"/>
  <c r="E220" i="18"/>
  <c r="E221" i="18"/>
  <c r="E222" i="18"/>
  <c r="E223" i="18"/>
  <c r="E224" i="18"/>
  <c r="E225" i="18"/>
  <c r="E226" i="18"/>
  <c r="E227" i="18"/>
  <c r="E228" i="18"/>
  <c r="E229" i="18"/>
  <c r="E230" i="18"/>
  <c r="E231" i="18"/>
  <c r="E232" i="18"/>
  <c r="E233" i="18"/>
  <c r="E234" i="18"/>
  <c r="E235" i="18"/>
  <c r="E236" i="18"/>
  <c r="E237" i="18"/>
  <c r="E238" i="18"/>
  <c r="E239" i="18"/>
  <c r="E240" i="18"/>
  <c r="E241" i="18"/>
  <c r="E242" i="18"/>
  <c r="E243" i="18"/>
  <c r="E244" i="18"/>
  <c r="E245" i="18"/>
  <c r="E246" i="18"/>
  <c r="E247" i="18"/>
  <c r="E248" i="18"/>
  <c r="E249" i="18"/>
  <c r="E250" i="18"/>
  <c r="E251" i="18"/>
  <c r="E252" i="18"/>
  <c r="E253" i="18"/>
  <c r="E254" i="18"/>
  <c r="E255" i="18"/>
  <c r="E256" i="18"/>
  <c r="E257" i="18"/>
  <c r="E258" i="18"/>
  <c r="E259" i="18"/>
  <c r="E260" i="18"/>
  <c r="E261" i="18"/>
  <c r="E262" i="18"/>
  <c r="E263" i="18"/>
  <c r="E264" i="18"/>
  <c r="E265" i="18"/>
  <c r="E266" i="18"/>
  <c r="E267" i="18"/>
  <c r="E268" i="18"/>
  <c r="E269" i="18"/>
  <c r="E270" i="18"/>
  <c r="E271" i="18"/>
  <c r="E272" i="18"/>
  <c r="E273" i="18"/>
  <c r="E274" i="18"/>
  <c r="E275" i="18"/>
  <c r="E276" i="18"/>
  <c r="E277" i="18"/>
  <c r="E278" i="18"/>
  <c r="E279" i="18"/>
  <c r="E280" i="18"/>
  <c r="E281" i="18"/>
  <c r="E282" i="18"/>
  <c r="E283" i="18"/>
  <c r="E284" i="18"/>
  <c r="E285" i="18"/>
  <c r="E286" i="18"/>
  <c r="E287" i="18"/>
  <c r="E288" i="18"/>
  <c r="E289" i="18"/>
  <c r="E290" i="18"/>
  <c r="E291" i="18"/>
  <c r="E292" i="18"/>
  <c r="E293" i="18"/>
  <c r="E294" i="18"/>
  <c r="E295" i="18"/>
  <c r="E296" i="18"/>
  <c r="E297" i="18"/>
  <c r="E298" i="18"/>
  <c r="E299" i="18"/>
  <c r="E300" i="18"/>
  <c r="E301" i="18"/>
  <c r="E302" i="18"/>
  <c r="E303" i="18"/>
  <c r="E304" i="18"/>
  <c r="E305" i="18"/>
  <c r="E306" i="18"/>
  <c r="E307" i="18"/>
  <c r="E308" i="18"/>
  <c r="E309" i="18"/>
  <c r="E310" i="18"/>
  <c r="E311" i="18"/>
  <c r="E312" i="18"/>
  <c r="E313" i="18"/>
  <c r="E314" i="18"/>
  <c r="E315" i="18"/>
  <c r="E316" i="18"/>
  <c r="E317" i="18"/>
  <c r="E318" i="18"/>
  <c r="E319" i="18"/>
  <c r="E320" i="18"/>
  <c r="E321" i="18"/>
  <c r="E322" i="18"/>
  <c r="E323" i="18"/>
  <c r="N12" i="20" l="1"/>
  <c r="N11" i="20"/>
  <c r="L11" i="20"/>
  <c r="N9" i="18"/>
  <c r="G2" i="18"/>
  <c r="L3" i="18"/>
  <c r="L10" i="18"/>
  <c r="L4" i="18"/>
  <c r="N11" i="18"/>
  <c r="N2" i="18"/>
  <c r="L8" i="18"/>
  <c r="L5" i="18"/>
  <c r="N12" i="18"/>
  <c r="N6" i="18"/>
  <c r="N10" i="18"/>
  <c r="N5" i="18"/>
  <c r="L2" i="18"/>
  <c r="L11" i="18"/>
  <c r="N7" i="18"/>
  <c r="N3" i="18"/>
  <c r="L9" i="18"/>
  <c r="L6" i="18"/>
  <c r="N13" i="18"/>
  <c r="N4" i="18"/>
  <c r="L13" i="18"/>
  <c r="L12" i="18"/>
  <c r="L7" i="18"/>
  <c r="N8" i="18"/>
  <c r="L8" i="20"/>
  <c r="J14" i="20"/>
  <c r="M14" i="20" s="1"/>
  <c r="N8" i="20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E3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6" i="1"/>
  <c r="E287" i="1"/>
  <c r="E289" i="1"/>
  <c r="E291" i="1"/>
  <c r="E292" i="1"/>
  <c r="E293" i="1"/>
  <c r="E294" i="1"/>
  <c r="E296" i="1"/>
  <c r="E297" i="1"/>
  <c r="E299" i="1"/>
  <c r="E300" i="1"/>
  <c r="E301" i="1"/>
  <c r="E302" i="1"/>
  <c r="E303" i="1"/>
  <c r="E304" i="1"/>
  <c r="E305" i="1"/>
  <c r="E306" i="1"/>
  <c r="E307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6" i="1"/>
  <c r="E337" i="1"/>
  <c r="E338" i="1"/>
  <c r="E339" i="1"/>
  <c r="E340" i="1"/>
  <c r="E341" i="1"/>
  <c r="E342" i="1"/>
  <c r="E343" i="1"/>
  <c r="E344" i="1"/>
  <c r="E345" i="1"/>
  <c r="E347" i="1"/>
  <c r="E348" i="1"/>
  <c r="E350" i="1"/>
  <c r="E351" i="1"/>
  <c r="E352" i="1"/>
  <c r="E353" i="1"/>
  <c r="E354" i="1"/>
  <c r="E355" i="1"/>
  <c r="E356" i="1"/>
  <c r="E357" i="1"/>
  <c r="E358" i="1"/>
  <c r="E359" i="1"/>
  <c r="E360" i="1"/>
  <c r="E362" i="1"/>
  <c r="E363" i="1"/>
  <c r="E364" i="1"/>
  <c r="F9" i="1"/>
  <c r="F3" i="1"/>
  <c r="F4" i="1"/>
  <c r="F5" i="1"/>
  <c r="F7" i="1"/>
  <c r="F8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9" i="1"/>
  <c r="F290" i="1"/>
  <c r="F291" i="1"/>
  <c r="F292" i="1"/>
  <c r="F293" i="1"/>
  <c r="F294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L14" i="18" l="1"/>
  <c r="N14" i="18"/>
  <c r="N14" i="20"/>
  <c r="G2" i="1"/>
  <c r="M22" i="1"/>
</calcChain>
</file>

<file path=xl/sharedStrings.xml><?xml version="1.0" encoding="utf-8"?>
<sst xmlns="http://schemas.openxmlformats.org/spreadsheetml/2006/main" count="1133" uniqueCount="68">
  <si>
    <t>Tempo</t>
  </si>
  <si>
    <t>Energia em kWh</t>
  </si>
  <si>
    <t>Pot. Total Inversres em kW</t>
  </si>
  <si>
    <t>Pot. Em kWp</t>
  </si>
  <si>
    <t>Energia específica</t>
  </si>
  <si>
    <t>Fator de capacidade</t>
  </si>
  <si>
    <t>Perfomance Ratio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</si>
  <si>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</si>
  <si>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</si>
  <si>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</si>
  <si>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</si>
  <si>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</si>
  <si>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</si>
  <si>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</si>
  <si>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</si>
  <si>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</si>
  <si>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</si>
  <si>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</si>
  <si>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</si>
  <si>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Energia Específica Anual</t>
  </si>
  <si>
    <t>Energia Específica Mensal</t>
  </si>
  <si>
    <t>Somatório Energia mensal(kWh)</t>
  </si>
  <si>
    <t>Média Energia Mensal (kWh)</t>
  </si>
  <si>
    <t>Município</t>
  </si>
  <si>
    <t>Irradiação solar diária média[kWh/m².dia]</t>
  </si>
  <si>
    <t>Belo Horizonte</t>
  </si>
  <si>
    <t>Média</t>
  </si>
  <si>
    <t>kWh/kWp/Ano</t>
  </si>
  <si>
    <t>Anual</t>
  </si>
  <si>
    <t>Fator de Capacidade</t>
  </si>
  <si>
    <t>PvSyst Simulation</t>
  </si>
  <si>
    <t>150 kW</t>
  </si>
  <si>
    <t>125 kW</t>
  </si>
  <si>
    <t>130 kW</t>
  </si>
  <si>
    <t>135 kW</t>
  </si>
  <si>
    <t>105 kW</t>
  </si>
  <si>
    <t>Pot. Ativa</t>
  </si>
  <si>
    <t>Data/Hora</t>
  </si>
  <si>
    <t>Contagem de Pot. Ativa</t>
  </si>
  <si>
    <t>Meses (Data/Hora)</t>
  </si>
  <si>
    <t>Dias (Data/Hora)</t>
  </si>
  <si>
    <t>jun</t>
  </si>
  <si>
    <t>jul</t>
  </si>
  <si>
    <t>ago</t>
  </si>
  <si>
    <t>mai</t>
  </si>
  <si>
    <t>jan</t>
  </si>
  <si>
    <t>fev</t>
  </si>
  <si>
    <t>mar</t>
  </si>
  <si>
    <t>set</t>
  </si>
  <si>
    <t>out</t>
  </si>
  <si>
    <t>nov</t>
  </si>
  <si>
    <t>dez</t>
  </si>
  <si>
    <t>abr</t>
  </si>
  <si>
    <t>CAD 3 Ano 2023 dados de pico</t>
  </si>
  <si>
    <t>Fator de Capacidade Médio</t>
  </si>
  <si>
    <t>Geração 2025</t>
  </si>
  <si>
    <t>2024-2025</t>
  </si>
  <si>
    <t>clique aqui</t>
  </si>
  <si>
    <t>Avisos</t>
  </si>
  <si>
    <t>Somatório Energia mensal(MWh)</t>
  </si>
  <si>
    <t>Ano</t>
  </si>
  <si>
    <t>Mês</t>
  </si>
  <si>
    <t>Dia</t>
  </si>
  <si>
    <t>Energia( MWh)</t>
  </si>
  <si>
    <t>Pot</t>
  </si>
  <si>
    <t>PR</t>
  </si>
  <si>
    <t>FC</t>
  </si>
  <si>
    <t>Irrad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</si>
</sst>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"/>
    <numFmt numFmtId="165" formatCode="d/m/yy\ h:mm;@"/>
    <numFmt numFmtId="166" formatCode="0.0"/>
    <numFmt numFmtId="167" formatCode="_-* #,##0.000_-;\-* #,##0.000_-;_-* &quot;-&quot;??_-;_-@_-"/>
  </numFmts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48"/>
      <color theme="1" tint="4.9989318521683403E-2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4">
    <xf numFmtId="0" fontId="0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75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/>
    <xf numFmtId="0" fontId="0" fillId="0" borderId="1" xfId="0" applyBorder="1" applyAlignment="1">
      <alignment horizontal="center"/>
    </xf>
    <xf numFmtId="10" fontId="0" fillId="0" borderId="1" xfId="0" applyNumberFormat="1" applyBorder="1" applyAlignment="1">
      <alignment horizontal="center"/>
    </xf>
    <xf numFmtId="21" fontId="0" fillId="0" borderId="0" xfId="0" applyNumberFormat="1"/>
    <xf numFmtId="0" fontId="2" fillId="3" borderId="1" xfId="0" applyFont="1" applyFill="1" applyBorder="1"/>
    <xf numFmtId="10" fontId="2" fillId="3" borderId="1" xfId="0" applyNumberFormat="1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2" borderId="1" xfId="0" applyFont="1" applyFill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0" fontId="0" fillId="2" borderId="1" xfId="0" applyNumberFormat="1" applyFill="1" applyBorder="1" applyAlignment="1">
      <alignment horizontal="center"/>
    </xf>
    <xf numFmtId="2" fontId="0" fillId="3" borderId="2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2" fillId="7" borderId="1" xfId="0" applyFont="1" applyFill="1" applyBorder="1"/>
    <xf numFmtId="164" fontId="0" fillId="7" borderId="1" xfId="0" applyNumberFormat="1" applyFill="1" applyBorder="1" applyAlignment="1">
      <alignment horizontal="center"/>
    </xf>
    <xf numFmtId="10" fontId="0" fillId="7" borderId="1" xfId="0" applyNumberForma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10" fontId="0" fillId="8" borderId="1" xfId="0" applyNumberFormat="1" applyFill="1" applyBorder="1" applyAlignment="1">
      <alignment horizontal="center"/>
    </xf>
    <xf numFmtId="0" fontId="2" fillId="3" borderId="3" xfId="0" applyFont="1" applyFill="1" applyBorder="1"/>
    <xf numFmtId="10" fontId="0" fillId="3" borderId="1" xfId="0" applyNumberForma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2" fontId="0" fillId="0" borderId="0" xfId="0" applyNumberFormat="1"/>
    <xf numFmtId="9" fontId="0" fillId="0" borderId="0" xfId="1" applyFont="1"/>
    <xf numFmtId="2" fontId="0" fillId="0" borderId="1" xfId="0" applyNumberFormat="1" applyBorder="1" applyAlignment="1">
      <alignment horizontal="center"/>
    </xf>
    <xf numFmtId="2" fontId="0" fillId="8" borderId="1" xfId="0" applyNumberFormat="1" applyFill="1" applyBorder="1" applyAlignment="1">
      <alignment horizontal="center"/>
    </xf>
    <xf numFmtId="14" fontId="0" fillId="0" borderId="1" xfId="0" applyNumberFormat="1" applyBorder="1"/>
    <xf numFmtId="22" fontId="0" fillId="0" borderId="0" xfId="0" applyNumberFormat="1"/>
    <xf numFmtId="0" fontId="0" fillId="0" borderId="0" xfId="0" pivotButton="1"/>
    <xf numFmtId="165" fontId="0" fillId="0" borderId="0" xfId="0" applyNumberFormat="1"/>
    <xf numFmtId="0" fontId="0" fillId="0" borderId="1" xfId="0" applyBorder="1"/>
    <xf numFmtId="165" fontId="0" fillId="0" borderId="1" xfId="0" applyNumberFormat="1" applyBorder="1"/>
    <xf numFmtId="10" fontId="2" fillId="4" borderId="1" xfId="0" applyNumberFormat="1" applyFont="1" applyFill="1" applyBorder="1"/>
    <xf numFmtId="166" fontId="0" fillId="2" borderId="1" xfId="0" applyNumberFormat="1" applyFill="1" applyBorder="1" applyAlignment="1">
      <alignment horizontal="center"/>
    </xf>
    <xf numFmtId="166" fontId="0" fillId="3" borderId="1" xfId="0" applyNumberFormat="1" applyFill="1" applyBorder="1" applyAlignment="1">
      <alignment horizontal="center"/>
    </xf>
    <xf numFmtId="166" fontId="0" fillId="8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left" indent="8"/>
    </xf>
    <xf numFmtId="0" fontId="0" fillId="9" borderId="0" xfId="0" applyFill="1"/>
    <xf numFmtId="164" fontId="0" fillId="0" borderId="1" xfId="0" applyNumberFormat="1" applyBorder="1"/>
    <xf numFmtId="10" fontId="0" fillId="0" borderId="1" xfId="0" applyNumberFormat="1" applyBorder="1"/>
    <xf numFmtId="0" fontId="2" fillId="10" borderId="0" xfId="0" applyFont="1" applyFill="1"/>
    <xf numFmtId="0" fontId="0" fillId="0" borderId="5" xfId="0" applyBorder="1" applyAlignment="1">
      <alignment horizontal="center"/>
    </xf>
    <xf numFmtId="22" fontId="0" fillId="0" borderId="1" xfId="0" applyNumberFormat="1" applyBorder="1"/>
    <xf numFmtId="164" fontId="0" fillId="0" borderId="1" xfId="0" applyNumberFormat="1" applyBorder="1" applyAlignment="1">
      <alignment horizontal="center"/>
    </xf>
    <xf numFmtId="22" fontId="0" fillId="0" borderId="1" xfId="0" applyNumberFormat="1" applyBorder="1" applyAlignment="1">
      <alignment horizontal="center"/>
    </xf>
    <xf numFmtId="10" fontId="0" fillId="0" borderId="1" xfId="1" applyNumberFormat="1" applyFont="1" applyBorder="1"/>
    <xf numFmtId="0" fontId="0" fillId="6" borderId="0" xfId="0" applyFill="1"/>
    <xf numFmtId="2" fontId="0" fillId="0" borderId="1" xfId="0" applyNumberFormat="1" applyBorder="1"/>
    <xf numFmtId="0" fontId="2" fillId="0" borderId="0" xfId="0" applyFont="1"/>
    <xf numFmtId="0" fontId="0" fillId="0" borderId="0" xfId="0" applyAlignment="1">
      <alignment horizontal="left"/>
    </xf>
    <xf numFmtId="10" fontId="0" fillId="3" borderId="4" xfId="0" applyNumberFormat="1" applyFill="1" applyBorder="1" applyAlignment="1">
      <alignment horizontal="center"/>
    </xf>
    <xf numFmtId="0" fontId="6" fillId="11" borderId="7" xfId="3" applyFont="1" applyFill="1" applyBorder="1"/>
    <xf numFmtId="167" fontId="0" fillId="2" borderId="1" xfId="2" applyNumberFormat="1" applyFont="1" applyFill="1" applyBorder="1" applyAlignment="1">
      <alignment horizontal="center"/>
    </xf>
    <xf numFmtId="167" fontId="0" fillId="3" borderId="1" xfId="2" applyNumberFormat="1" applyFont="1" applyFill="1" applyBorder="1" applyAlignment="1">
      <alignment horizontal="center"/>
    </xf>
    <xf numFmtId="167" fontId="0" fillId="7" borderId="1" xfId="2" applyNumberFormat="1" applyFont="1" applyFill="1" applyBorder="1" applyAlignment="1">
      <alignment horizontal="center"/>
    </xf>
    <xf numFmtId="167" fontId="0" fillId="2" borderId="1" xfId="2" applyNumberFormat="1" applyFont="1" applyFill="1" applyBorder="1" applyAlignment="1">
      <alignment horizontal="left" indent="8"/>
    </xf>
    <xf numFmtId="167" fontId="0" fillId="3" borderId="1" xfId="0" applyNumberFormat="1" applyFill="1" applyBorder="1" applyAlignment="1">
      <alignment horizontal="center"/>
    </xf>
    <xf numFmtId="167" fontId="0" fillId="2" borderId="1" xfId="0" applyNumberForma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4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11" borderId="0" xfId="0" applyFill="1" applyAlignment="1">
      <alignment horizontal="center"/>
    </xf>
    <xf numFmtId="0" fontId="2" fillId="9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</cellXfs>
  <cellStyles count="4">
    <cellStyle name="Hiperlink" xfId="3" builtinId="8"/>
    <cellStyle name="Normal" xfId="0" builtinId="0"/>
    <cellStyle name="Porcentagem" xfId="1" builtinId="5"/>
    <cellStyle name="Vírgula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'Pot. Pico'!$B$2:$B$878</c:f>
              <c:strCache>
                <c:ptCount val="877"/>
                <c:pt idx="0">
                  <c:v>Pot. Ativa</c:v>
                </c:pt>
                <c:pt idx="1">
                  <c:v>150 kW</c:v>
                </c:pt>
                <c:pt idx="2">
                  <c:v>150 kW</c:v>
                </c:pt>
                <c:pt idx="3">
                  <c:v>150 kW</c:v>
                </c:pt>
                <c:pt idx="4">
                  <c:v>150 kW</c:v>
                </c:pt>
                <c:pt idx="5">
                  <c:v>150 kW</c:v>
                </c:pt>
                <c:pt idx="6">
                  <c:v>150 kW</c:v>
                </c:pt>
                <c:pt idx="7">
                  <c:v>150 kW</c:v>
                </c:pt>
                <c:pt idx="8">
                  <c:v>150 kW</c:v>
                </c:pt>
                <c:pt idx="9">
                  <c:v>150 kW</c:v>
                </c:pt>
                <c:pt idx="10">
                  <c:v>150 kW</c:v>
                </c:pt>
                <c:pt idx="11">
                  <c:v>150 kW</c:v>
                </c:pt>
                <c:pt idx="12">
                  <c:v>150 kW</c:v>
                </c:pt>
                <c:pt idx="13">
                  <c:v>150 kW</c:v>
                </c:pt>
                <c:pt idx="14">
                  <c:v>150 kW</c:v>
                </c:pt>
                <c:pt idx="15">
                  <c:v>150 kW</c:v>
                </c:pt>
                <c:pt idx="16">
                  <c:v>150 kW</c:v>
                </c:pt>
                <c:pt idx="17">
                  <c:v>150 kW</c:v>
                </c:pt>
                <c:pt idx="18">
                  <c:v>150 kW</c:v>
                </c:pt>
                <c:pt idx="19">
                  <c:v>150 kW</c:v>
                </c:pt>
                <c:pt idx="20">
                  <c:v>150 kW</c:v>
                </c:pt>
                <c:pt idx="21">
                  <c:v>150 kW</c:v>
                </c:pt>
                <c:pt idx="22">
                  <c:v>150 kW</c:v>
                </c:pt>
                <c:pt idx="23">
                  <c:v>150 kW</c:v>
                </c:pt>
                <c:pt idx="24">
                  <c:v>150 kW</c:v>
                </c:pt>
                <c:pt idx="25">
                  <c:v>150 kW</c:v>
                </c:pt>
                <c:pt idx="26">
                  <c:v>150 kW</c:v>
                </c:pt>
                <c:pt idx="27">
                  <c:v>150 kW</c:v>
                </c:pt>
                <c:pt idx="28">
                  <c:v>150 kW</c:v>
                </c:pt>
                <c:pt idx="29">
                  <c:v>150 kW</c:v>
                </c:pt>
                <c:pt idx="30">
                  <c:v>150 kW</c:v>
                </c:pt>
                <c:pt idx="31">
                  <c:v>150 kW</c:v>
                </c:pt>
                <c:pt idx="32">
                  <c:v>150 kW</c:v>
                </c:pt>
                <c:pt idx="33">
                  <c:v>150 kW</c:v>
                </c:pt>
                <c:pt idx="34">
                  <c:v>150 kW</c:v>
                </c:pt>
                <c:pt idx="35">
                  <c:v>150 kW</c:v>
                </c:pt>
                <c:pt idx="36">
                  <c:v>150 kW</c:v>
                </c:pt>
                <c:pt idx="37">
                  <c:v>150 kW</c:v>
                </c:pt>
                <c:pt idx="38">
                  <c:v>150 kW</c:v>
                </c:pt>
                <c:pt idx="39">
                  <c:v>150 kW</c:v>
                </c:pt>
                <c:pt idx="40">
                  <c:v>150 kW</c:v>
                </c:pt>
                <c:pt idx="41">
                  <c:v>150 kW</c:v>
                </c:pt>
                <c:pt idx="42">
                  <c:v>150 kW</c:v>
                </c:pt>
                <c:pt idx="43">
                  <c:v>150 kW</c:v>
                </c:pt>
                <c:pt idx="44">
                  <c:v>150 kW</c:v>
                </c:pt>
                <c:pt idx="45">
                  <c:v>150 kW</c:v>
                </c:pt>
                <c:pt idx="46">
                  <c:v>150 kW</c:v>
                </c:pt>
                <c:pt idx="47">
                  <c:v>150 kW</c:v>
                </c:pt>
                <c:pt idx="48">
                  <c:v>150 kW</c:v>
                </c:pt>
                <c:pt idx="49">
                  <c:v>150 kW</c:v>
                </c:pt>
                <c:pt idx="50">
                  <c:v>150 kW</c:v>
                </c:pt>
                <c:pt idx="51">
                  <c:v>150 kW</c:v>
                </c:pt>
                <c:pt idx="52">
                  <c:v>150 kW</c:v>
                </c:pt>
                <c:pt idx="53">
                  <c:v>150 kW</c:v>
                </c:pt>
                <c:pt idx="54">
                  <c:v>150 kW</c:v>
                </c:pt>
                <c:pt idx="55">
                  <c:v>150 kW</c:v>
                </c:pt>
                <c:pt idx="56">
                  <c:v>150 kW</c:v>
                </c:pt>
                <c:pt idx="57">
                  <c:v>150 kW</c:v>
                </c:pt>
                <c:pt idx="58">
                  <c:v>150 kW</c:v>
                </c:pt>
                <c:pt idx="59">
                  <c:v>150 kW</c:v>
                </c:pt>
                <c:pt idx="60">
                  <c:v>150 kW</c:v>
                </c:pt>
                <c:pt idx="61">
                  <c:v>150 kW</c:v>
                </c:pt>
                <c:pt idx="62">
                  <c:v>150 kW</c:v>
                </c:pt>
                <c:pt idx="63">
                  <c:v>150 kW</c:v>
                </c:pt>
                <c:pt idx="64">
                  <c:v>150 kW</c:v>
                </c:pt>
                <c:pt idx="65">
                  <c:v>150 kW</c:v>
                </c:pt>
                <c:pt idx="66">
                  <c:v>150 kW</c:v>
                </c:pt>
                <c:pt idx="67">
                  <c:v>150 kW</c:v>
                </c:pt>
                <c:pt idx="68">
                  <c:v>150 kW</c:v>
                </c:pt>
                <c:pt idx="69">
                  <c:v>150 kW</c:v>
                </c:pt>
                <c:pt idx="70">
                  <c:v>150 kW</c:v>
                </c:pt>
                <c:pt idx="71">
                  <c:v>150 kW</c:v>
                </c:pt>
                <c:pt idx="72">
                  <c:v>150 kW</c:v>
                </c:pt>
                <c:pt idx="73">
                  <c:v>150 kW</c:v>
                </c:pt>
                <c:pt idx="74">
                  <c:v>150 kW</c:v>
                </c:pt>
                <c:pt idx="75">
                  <c:v>150 kW</c:v>
                </c:pt>
                <c:pt idx="76">
                  <c:v>150 kW</c:v>
                </c:pt>
                <c:pt idx="77">
                  <c:v>150 kW</c:v>
                </c:pt>
                <c:pt idx="78">
                  <c:v>150 kW</c:v>
                </c:pt>
                <c:pt idx="79">
                  <c:v>150 kW</c:v>
                </c:pt>
                <c:pt idx="80">
                  <c:v>150 kW</c:v>
                </c:pt>
                <c:pt idx="81">
                  <c:v>150 kW</c:v>
                </c:pt>
                <c:pt idx="82">
                  <c:v>150 kW</c:v>
                </c:pt>
                <c:pt idx="83">
                  <c:v>150 kW</c:v>
                </c:pt>
                <c:pt idx="84">
                  <c:v>150 kW</c:v>
                </c:pt>
                <c:pt idx="85">
                  <c:v>150 kW</c:v>
                </c:pt>
                <c:pt idx="86">
                  <c:v>150 kW</c:v>
                </c:pt>
                <c:pt idx="87">
                  <c:v>150 kW</c:v>
                </c:pt>
                <c:pt idx="88">
                  <c:v>150 kW</c:v>
                </c:pt>
                <c:pt idx="89">
                  <c:v>150 kW</c:v>
                </c:pt>
                <c:pt idx="90">
                  <c:v>150 kW</c:v>
                </c:pt>
                <c:pt idx="91">
                  <c:v>150 kW</c:v>
                </c:pt>
                <c:pt idx="92">
                  <c:v>150 kW</c:v>
                </c:pt>
                <c:pt idx="93">
                  <c:v>150 kW</c:v>
                </c:pt>
                <c:pt idx="94">
                  <c:v>150 kW</c:v>
                </c:pt>
                <c:pt idx="95">
                  <c:v>150 kW</c:v>
                </c:pt>
                <c:pt idx="96">
                  <c:v>150 kW</c:v>
                </c:pt>
                <c:pt idx="97">
                  <c:v>150 kW</c:v>
                </c:pt>
                <c:pt idx="98">
                  <c:v>150 kW</c:v>
                </c:pt>
                <c:pt idx="99">
                  <c:v>150 kW</c:v>
                </c:pt>
                <c:pt idx="100">
                  <c:v>150 kW</c:v>
                </c:pt>
                <c:pt idx="101">
                  <c:v>150 kW</c:v>
                </c:pt>
                <c:pt idx="102">
                  <c:v>150 kW</c:v>
                </c:pt>
                <c:pt idx="103">
                  <c:v>150 kW</c:v>
                </c:pt>
                <c:pt idx="104">
                  <c:v>150 kW</c:v>
                </c:pt>
                <c:pt idx="105">
                  <c:v>150 kW</c:v>
                </c:pt>
                <c:pt idx="106">
                  <c:v>150 kW</c:v>
                </c:pt>
                <c:pt idx="107">
                  <c:v>150 kW</c:v>
                </c:pt>
                <c:pt idx="108">
                  <c:v>150 kW</c:v>
                </c:pt>
                <c:pt idx="109">
                  <c:v>150 kW</c:v>
                </c:pt>
                <c:pt idx="110">
                  <c:v>150 kW</c:v>
                </c:pt>
                <c:pt idx="111">
                  <c:v>150 kW</c:v>
                </c:pt>
                <c:pt idx="112">
                  <c:v>150 kW</c:v>
                </c:pt>
                <c:pt idx="113">
                  <c:v>150 kW</c:v>
                </c:pt>
                <c:pt idx="114">
                  <c:v>150 kW</c:v>
                </c:pt>
                <c:pt idx="115">
                  <c:v>150 kW</c:v>
                </c:pt>
                <c:pt idx="116">
                  <c:v>150 kW</c:v>
                </c:pt>
                <c:pt idx="117">
                  <c:v>150 kW</c:v>
                </c:pt>
                <c:pt idx="118">
                  <c:v>150 kW</c:v>
                </c:pt>
                <c:pt idx="119">
                  <c:v>150 kW</c:v>
                </c:pt>
                <c:pt idx="120">
                  <c:v>150 kW</c:v>
                </c:pt>
                <c:pt idx="121">
                  <c:v>150 kW</c:v>
                </c:pt>
                <c:pt idx="122">
                  <c:v>150 kW</c:v>
                </c:pt>
                <c:pt idx="123">
                  <c:v>150 kW</c:v>
                </c:pt>
                <c:pt idx="124">
                  <c:v>150 kW</c:v>
                </c:pt>
                <c:pt idx="125">
                  <c:v>150 kW</c:v>
                </c:pt>
                <c:pt idx="126">
                  <c:v>150 kW</c:v>
                </c:pt>
                <c:pt idx="127">
                  <c:v>150 kW</c:v>
                </c:pt>
                <c:pt idx="128">
                  <c:v>150 kW</c:v>
                </c:pt>
                <c:pt idx="129">
                  <c:v>150 kW</c:v>
                </c:pt>
                <c:pt idx="130">
                  <c:v>150 kW</c:v>
                </c:pt>
                <c:pt idx="131">
                  <c:v>150 kW</c:v>
                </c:pt>
                <c:pt idx="132">
                  <c:v>150 kW</c:v>
                </c:pt>
                <c:pt idx="133">
                  <c:v>150 kW</c:v>
                </c:pt>
                <c:pt idx="134">
                  <c:v>150 kW</c:v>
                </c:pt>
                <c:pt idx="135">
                  <c:v>150 kW</c:v>
                </c:pt>
                <c:pt idx="136">
                  <c:v>150 kW</c:v>
                </c:pt>
                <c:pt idx="137">
                  <c:v>150 kW</c:v>
                </c:pt>
                <c:pt idx="138">
                  <c:v>150 kW</c:v>
                </c:pt>
                <c:pt idx="139">
                  <c:v>150 kW</c:v>
                </c:pt>
                <c:pt idx="140">
                  <c:v>150 kW</c:v>
                </c:pt>
                <c:pt idx="141">
                  <c:v>150 kW</c:v>
                </c:pt>
                <c:pt idx="142">
                  <c:v>150 kW</c:v>
                </c:pt>
                <c:pt idx="143">
                  <c:v>150 kW</c:v>
                </c:pt>
                <c:pt idx="144">
                  <c:v>150 kW</c:v>
                </c:pt>
                <c:pt idx="145">
                  <c:v>150 kW</c:v>
                </c:pt>
                <c:pt idx="146">
                  <c:v>150 kW</c:v>
                </c:pt>
                <c:pt idx="147">
                  <c:v>150 kW</c:v>
                </c:pt>
                <c:pt idx="148">
                  <c:v>150 kW</c:v>
                </c:pt>
                <c:pt idx="149">
                  <c:v>150 kW</c:v>
                </c:pt>
                <c:pt idx="150">
                  <c:v>150 kW</c:v>
                </c:pt>
                <c:pt idx="151">
                  <c:v>150 kW</c:v>
                </c:pt>
                <c:pt idx="152">
                  <c:v>150 kW</c:v>
                </c:pt>
                <c:pt idx="153">
                  <c:v>150 kW</c:v>
                </c:pt>
                <c:pt idx="154">
                  <c:v>150 kW</c:v>
                </c:pt>
                <c:pt idx="155">
                  <c:v>150 kW</c:v>
                </c:pt>
                <c:pt idx="156">
                  <c:v>150 kW</c:v>
                </c:pt>
                <c:pt idx="157">
                  <c:v>150 kW</c:v>
                </c:pt>
                <c:pt idx="158">
                  <c:v>150 kW</c:v>
                </c:pt>
                <c:pt idx="159">
                  <c:v>150 kW</c:v>
                </c:pt>
                <c:pt idx="160">
                  <c:v>150 kW</c:v>
                </c:pt>
                <c:pt idx="161">
                  <c:v>150 kW</c:v>
                </c:pt>
                <c:pt idx="162">
                  <c:v>150 kW</c:v>
                </c:pt>
                <c:pt idx="163">
                  <c:v>150 kW</c:v>
                </c:pt>
                <c:pt idx="164">
                  <c:v>150 kW</c:v>
                </c:pt>
                <c:pt idx="165">
                  <c:v>150 kW</c:v>
                </c:pt>
                <c:pt idx="166">
                  <c:v>150 kW</c:v>
                </c:pt>
                <c:pt idx="167">
                  <c:v>150 kW</c:v>
                </c:pt>
                <c:pt idx="168">
                  <c:v>150 kW</c:v>
                </c:pt>
                <c:pt idx="169">
                  <c:v>150 kW</c:v>
                </c:pt>
                <c:pt idx="170">
                  <c:v>150 kW</c:v>
                </c:pt>
                <c:pt idx="171">
                  <c:v>150 kW</c:v>
                </c:pt>
                <c:pt idx="172">
                  <c:v>150 kW</c:v>
                </c:pt>
                <c:pt idx="173">
                  <c:v>150 kW</c:v>
                </c:pt>
                <c:pt idx="174">
                  <c:v>150 kW</c:v>
                </c:pt>
                <c:pt idx="175">
                  <c:v>150 kW</c:v>
                </c:pt>
                <c:pt idx="176">
                  <c:v>150 kW</c:v>
                </c:pt>
                <c:pt idx="177">
                  <c:v>150 kW</c:v>
                </c:pt>
                <c:pt idx="178">
                  <c:v>150 kW</c:v>
                </c:pt>
                <c:pt idx="179">
                  <c:v>150 kW</c:v>
                </c:pt>
                <c:pt idx="180">
                  <c:v>150 kW</c:v>
                </c:pt>
                <c:pt idx="181">
                  <c:v>150 kW</c:v>
                </c:pt>
                <c:pt idx="182">
                  <c:v>150 kW</c:v>
                </c:pt>
                <c:pt idx="183">
                  <c:v>150 kW</c:v>
                </c:pt>
                <c:pt idx="184">
                  <c:v>150 kW</c:v>
                </c:pt>
                <c:pt idx="185">
                  <c:v>150 kW</c:v>
                </c:pt>
                <c:pt idx="186">
                  <c:v>150 kW</c:v>
                </c:pt>
                <c:pt idx="187">
                  <c:v>150 kW</c:v>
                </c:pt>
                <c:pt idx="188">
                  <c:v>150 kW</c:v>
                </c:pt>
                <c:pt idx="189">
                  <c:v>150 kW</c:v>
                </c:pt>
                <c:pt idx="190">
                  <c:v>150 kW</c:v>
                </c:pt>
                <c:pt idx="191">
                  <c:v>150 kW</c:v>
                </c:pt>
                <c:pt idx="192">
                  <c:v>150 kW</c:v>
                </c:pt>
                <c:pt idx="193">
                  <c:v>150 kW</c:v>
                </c:pt>
                <c:pt idx="194">
                  <c:v>150 kW</c:v>
                </c:pt>
                <c:pt idx="195">
                  <c:v>150 kW</c:v>
                </c:pt>
                <c:pt idx="196">
                  <c:v>150 kW</c:v>
                </c:pt>
                <c:pt idx="197">
                  <c:v>150 kW</c:v>
                </c:pt>
                <c:pt idx="198">
                  <c:v>150 kW</c:v>
                </c:pt>
                <c:pt idx="199">
                  <c:v>150 kW</c:v>
                </c:pt>
                <c:pt idx="200">
                  <c:v>150 kW</c:v>
                </c:pt>
                <c:pt idx="201">
                  <c:v>150 kW</c:v>
                </c:pt>
                <c:pt idx="202">
                  <c:v>150 kW</c:v>
                </c:pt>
                <c:pt idx="203">
                  <c:v>150 kW</c:v>
                </c:pt>
                <c:pt idx="204">
                  <c:v>150 kW</c:v>
                </c:pt>
                <c:pt idx="205">
                  <c:v>150 kW</c:v>
                </c:pt>
                <c:pt idx="206">
                  <c:v>150 kW</c:v>
                </c:pt>
                <c:pt idx="207">
                  <c:v>150 kW</c:v>
                </c:pt>
                <c:pt idx="208">
                  <c:v>150 kW</c:v>
                </c:pt>
                <c:pt idx="209">
                  <c:v>150 kW</c:v>
                </c:pt>
                <c:pt idx="210">
                  <c:v>150 kW</c:v>
                </c:pt>
                <c:pt idx="211">
                  <c:v>150 kW</c:v>
                </c:pt>
                <c:pt idx="212">
                  <c:v>150 kW</c:v>
                </c:pt>
                <c:pt idx="213">
                  <c:v>150 kW</c:v>
                </c:pt>
                <c:pt idx="214">
                  <c:v>150 kW</c:v>
                </c:pt>
                <c:pt idx="215">
                  <c:v>150 kW</c:v>
                </c:pt>
                <c:pt idx="216">
                  <c:v>150 kW</c:v>
                </c:pt>
                <c:pt idx="217">
                  <c:v>150 kW</c:v>
                </c:pt>
                <c:pt idx="218">
                  <c:v>150 kW</c:v>
                </c:pt>
                <c:pt idx="219">
                  <c:v>150 kW</c:v>
                </c:pt>
                <c:pt idx="220">
                  <c:v>150 kW</c:v>
                </c:pt>
                <c:pt idx="221">
                  <c:v>150 kW</c:v>
                </c:pt>
                <c:pt idx="222">
                  <c:v>150 kW</c:v>
                </c:pt>
                <c:pt idx="223">
                  <c:v>150 kW</c:v>
                </c:pt>
                <c:pt idx="224">
                  <c:v>150 kW</c:v>
                </c:pt>
                <c:pt idx="225">
                  <c:v>150 kW</c:v>
                </c:pt>
                <c:pt idx="226">
                  <c:v>150 kW</c:v>
                </c:pt>
                <c:pt idx="227">
                  <c:v>150 kW</c:v>
                </c:pt>
                <c:pt idx="228">
                  <c:v>150 kW</c:v>
                </c:pt>
                <c:pt idx="229">
                  <c:v>150 kW</c:v>
                </c:pt>
                <c:pt idx="230">
                  <c:v>150 kW</c:v>
                </c:pt>
                <c:pt idx="231">
                  <c:v>150 kW</c:v>
                </c:pt>
                <c:pt idx="232">
                  <c:v>150 kW</c:v>
                </c:pt>
                <c:pt idx="233">
                  <c:v>150 kW</c:v>
                </c:pt>
                <c:pt idx="234">
                  <c:v>150 kW</c:v>
                </c:pt>
                <c:pt idx="235">
                  <c:v>150 kW</c:v>
                </c:pt>
                <c:pt idx="236">
                  <c:v>150 kW</c:v>
                </c:pt>
                <c:pt idx="237">
                  <c:v>150 kW</c:v>
                </c:pt>
                <c:pt idx="238">
                  <c:v>150 kW</c:v>
                </c:pt>
                <c:pt idx="239">
                  <c:v>150 kW</c:v>
                </c:pt>
                <c:pt idx="240">
                  <c:v>150 kW</c:v>
                </c:pt>
                <c:pt idx="241">
                  <c:v>150 kW</c:v>
                </c:pt>
                <c:pt idx="242">
                  <c:v>150 kW</c:v>
                </c:pt>
                <c:pt idx="243">
                  <c:v>150 kW</c:v>
                </c:pt>
                <c:pt idx="244">
                  <c:v>150 kW</c:v>
                </c:pt>
                <c:pt idx="245">
                  <c:v>150 kW</c:v>
                </c:pt>
                <c:pt idx="246">
                  <c:v>150 kW</c:v>
                </c:pt>
                <c:pt idx="247">
                  <c:v>150 kW</c:v>
                </c:pt>
                <c:pt idx="248">
                  <c:v>150 kW</c:v>
                </c:pt>
                <c:pt idx="249">
                  <c:v>150 kW</c:v>
                </c:pt>
                <c:pt idx="250">
                  <c:v>150 kW</c:v>
                </c:pt>
                <c:pt idx="251">
                  <c:v>150 kW</c:v>
                </c:pt>
                <c:pt idx="252">
                  <c:v>150 kW</c:v>
                </c:pt>
                <c:pt idx="253">
                  <c:v>150 kW</c:v>
                </c:pt>
                <c:pt idx="254">
                  <c:v>150 kW</c:v>
                </c:pt>
                <c:pt idx="255">
                  <c:v>150 kW</c:v>
                </c:pt>
                <c:pt idx="256">
                  <c:v>150 kW</c:v>
                </c:pt>
                <c:pt idx="257">
                  <c:v>150 kW</c:v>
                </c:pt>
                <c:pt idx="258">
                  <c:v>150 kW</c:v>
                </c:pt>
                <c:pt idx="259">
                  <c:v>150 kW</c:v>
                </c:pt>
                <c:pt idx="260">
                  <c:v>150 kW</c:v>
                </c:pt>
                <c:pt idx="261">
                  <c:v>150 kW</c:v>
                </c:pt>
                <c:pt idx="262">
                  <c:v>150 kW</c:v>
                </c:pt>
                <c:pt idx="263">
                  <c:v>150 kW</c:v>
                </c:pt>
                <c:pt idx="264">
                  <c:v>150 kW</c:v>
                </c:pt>
                <c:pt idx="265">
                  <c:v>150 kW</c:v>
                </c:pt>
                <c:pt idx="266">
                  <c:v>150 kW</c:v>
                </c:pt>
                <c:pt idx="267">
                  <c:v>150 kW</c:v>
                </c:pt>
                <c:pt idx="268">
                  <c:v>150 kW</c:v>
                </c:pt>
                <c:pt idx="269">
                  <c:v>150 kW</c:v>
                </c:pt>
                <c:pt idx="270">
                  <c:v>150 kW</c:v>
                </c:pt>
                <c:pt idx="271">
                  <c:v>150 kW</c:v>
                </c:pt>
                <c:pt idx="272">
                  <c:v>150 kW</c:v>
                </c:pt>
                <c:pt idx="273">
                  <c:v>150 kW</c:v>
                </c:pt>
                <c:pt idx="274">
                  <c:v>150 kW</c:v>
                </c:pt>
                <c:pt idx="275">
                  <c:v>150 kW</c:v>
                </c:pt>
                <c:pt idx="276">
                  <c:v>150 kW</c:v>
                </c:pt>
                <c:pt idx="277">
                  <c:v>150 kW</c:v>
                </c:pt>
                <c:pt idx="278">
                  <c:v>150 kW</c:v>
                </c:pt>
                <c:pt idx="279">
                  <c:v>150 kW</c:v>
                </c:pt>
                <c:pt idx="280">
                  <c:v>150 kW</c:v>
                </c:pt>
                <c:pt idx="281">
                  <c:v>150 kW</c:v>
                </c:pt>
                <c:pt idx="282">
                  <c:v>150 kW</c:v>
                </c:pt>
                <c:pt idx="283">
                  <c:v>150 kW</c:v>
                </c:pt>
                <c:pt idx="284">
                  <c:v>150 kW</c:v>
                </c:pt>
                <c:pt idx="285">
                  <c:v>150 kW</c:v>
                </c:pt>
                <c:pt idx="286">
                  <c:v>150 kW</c:v>
                </c:pt>
                <c:pt idx="287">
                  <c:v>150 kW</c:v>
                </c:pt>
                <c:pt idx="288">
                  <c:v>150 kW</c:v>
                </c:pt>
                <c:pt idx="289">
                  <c:v>150 kW</c:v>
                </c:pt>
                <c:pt idx="290">
                  <c:v>150 kW</c:v>
                </c:pt>
                <c:pt idx="291">
                  <c:v>150 kW</c:v>
                </c:pt>
                <c:pt idx="292">
                  <c:v>150 kW</c:v>
                </c:pt>
                <c:pt idx="293">
                  <c:v>150 kW</c:v>
                </c:pt>
                <c:pt idx="294">
                  <c:v>150 kW</c:v>
                </c:pt>
                <c:pt idx="295">
                  <c:v>150 kW</c:v>
                </c:pt>
                <c:pt idx="296">
                  <c:v>150 kW</c:v>
                </c:pt>
                <c:pt idx="297">
                  <c:v>150 kW</c:v>
                </c:pt>
                <c:pt idx="298">
                  <c:v>150 kW</c:v>
                </c:pt>
                <c:pt idx="299">
                  <c:v>150 kW</c:v>
                </c:pt>
                <c:pt idx="300">
                  <c:v>150 kW</c:v>
                </c:pt>
                <c:pt idx="301">
                  <c:v>150 kW</c:v>
                </c:pt>
                <c:pt idx="302">
                  <c:v>150 kW</c:v>
                </c:pt>
                <c:pt idx="303">
                  <c:v>150 kW</c:v>
                </c:pt>
                <c:pt idx="304">
                  <c:v>150 kW</c:v>
                </c:pt>
                <c:pt idx="305">
                  <c:v>150 kW</c:v>
                </c:pt>
                <c:pt idx="306">
                  <c:v>150 kW</c:v>
                </c:pt>
                <c:pt idx="307">
                  <c:v>150 kW</c:v>
                </c:pt>
                <c:pt idx="308">
                  <c:v>150 kW</c:v>
                </c:pt>
                <c:pt idx="309">
                  <c:v>150 kW</c:v>
                </c:pt>
                <c:pt idx="310">
                  <c:v>150 kW</c:v>
                </c:pt>
                <c:pt idx="311">
                  <c:v>150 kW</c:v>
                </c:pt>
                <c:pt idx="312">
                  <c:v>150 kW</c:v>
                </c:pt>
                <c:pt idx="313">
                  <c:v>150 kW</c:v>
                </c:pt>
                <c:pt idx="314">
                  <c:v>150 kW</c:v>
                </c:pt>
                <c:pt idx="315">
                  <c:v>150 kW</c:v>
                </c:pt>
                <c:pt idx="316">
                  <c:v>150 kW</c:v>
                </c:pt>
                <c:pt idx="317">
                  <c:v>150 kW</c:v>
                </c:pt>
                <c:pt idx="318">
                  <c:v>150 kW</c:v>
                </c:pt>
                <c:pt idx="319">
                  <c:v>150 kW</c:v>
                </c:pt>
                <c:pt idx="320">
                  <c:v>150 kW</c:v>
                </c:pt>
                <c:pt idx="321">
                  <c:v>150 kW</c:v>
                </c:pt>
                <c:pt idx="322">
                  <c:v>150 kW</c:v>
                </c:pt>
                <c:pt idx="323">
                  <c:v>150 kW</c:v>
                </c:pt>
                <c:pt idx="324">
                  <c:v>150 kW</c:v>
                </c:pt>
                <c:pt idx="325">
                  <c:v>150 kW</c:v>
                </c:pt>
                <c:pt idx="326">
                  <c:v>150 kW</c:v>
                </c:pt>
                <c:pt idx="327">
                  <c:v>150 kW</c:v>
                </c:pt>
                <c:pt idx="328">
                  <c:v>150 kW</c:v>
                </c:pt>
                <c:pt idx="329">
                  <c:v>150 kW</c:v>
                </c:pt>
                <c:pt idx="330">
                  <c:v>150 kW</c:v>
                </c:pt>
                <c:pt idx="331">
                  <c:v>150 kW</c:v>
                </c:pt>
                <c:pt idx="332">
                  <c:v>150 kW</c:v>
                </c:pt>
                <c:pt idx="333">
                  <c:v>150 kW</c:v>
                </c:pt>
                <c:pt idx="334">
                  <c:v>150 kW</c:v>
                </c:pt>
                <c:pt idx="335">
                  <c:v>150 kW</c:v>
                </c:pt>
                <c:pt idx="336">
                  <c:v>150 kW</c:v>
                </c:pt>
                <c:pt idx="337">
                  <c:v>150 kW</c:v>
                </c:pt>
                <c:pt idx="338">
                  <c:v>150 kW</c:v>
                </c:pt>
                <c:pt idx="339">
                  <c:v>150 kW</c:v>
                </c:pt>
                <c:pt idx="340">
                  <c:v>150 kW</c:v>
                </c:pt>
                <c:pt idx="341">
                  <c:v>150 kW</c:v>
                </c:pt>
                <c:pt idx="342">
                  <c:v>150 kW</c:v>
                </c:pt>
                <c:pt idx="343">
                  <c:v>150 kW</c:v>
                </c:pt>
                <c:pt idx="344">
                  <c:v>150 kW</c:v>
                </c:pt>
                <c:pt idx="345">
                  <c:v>150 kW</c:v>
                </c:pt>
                <c:pt idx="346">
                  <c:v>150 kW</c:v>
                </c:pt>
                <c:pt idx="347">
                  <c:v>150 kW</c:v>
                </c:pt>
                <c:pt idx="348">
                  <c:v>150 kW</c:v>
                </c:pt>
                <c:pt idx="349">
                  <c:v>150 kW</c:v>
                </c:pt>
                <c:pt idx="350">
                  <c:v>150 kW</c:v>
                </c:pt>
                <c:pt idx="351">
                  <c:v>150 kW</c:v>
                </c:pt>
                <c:pt idx="352">
                  <c:v>150 kW</c:v>
                </c:pt>
                <c:pt idx="353">
                  <c:v>150 kW</c:v>
                </c:pt>
                <c:pt idx="354">
                  <c:v>150 kW</c:v>
                </c:pt>
                <c:pt idx="355">
                  <c:v>150 kW</c:v>
                </c:pt>
                <c:pt idx="356">
                  <c:v>150 kW</c:v>
                </c:pt>
                <c:pt idx="357">
                  <c:v>150 kW</c:v>
                </c:pt>
                <c:pt idx="358">
                  <c:v>150 kW</c:v>
                </c:pt>
                <c:pt idx="359">
                  <c:v>150 kW</c:v>
                </c:pt>
                <c:pt idx="360">
                  <c:v>150 kW</c:v>
                </c:pt>
                <c:pt idx="361">
                  <c:v>150 kW</c:v>
                </c:pt>
                <c:pt idx="362">
                  <c:v>150 kW</c:v>
                </c:pt>
                <c:pt idx="363">
                  <c:v>150 kW</c:v>
                </c:pt>
                <c:pt idx="364">
                  <c:v>150 kW</c:v>
                </c:pt>
                <c:pt idx="365">
                  <c:v>150 kW</c:v>
                </c:pt>
                <c:pt idx="366">
                  <c:v>150 kW</c:v>
                </c:pt>
                <c:pt idx="367">
                  <c:v>150 kW</c:v>
                </c:pt>
                <c:pt idx="368">
                  <c:v>150 kW</c:v>
                </c:pt>
                <c:pt idx="369">
                  <c:v>150 kW</c:v>
                </c:pt>
                <c:pt idx="370">
                  <c:v>150 kW</c:v>
                </c:pt>
                <c:pt idx="371">
                  <c:v>150 kW</c:v>
                </c:pt>
                <c:pt idx="372">
                  <c:v>150 kW</c:v>
                </c:pt>
                <c:pt idx="373">
                  <c:v>150 kW</c:v>
                </c:pt>
                <c:pt idx="374">
                  <c:v>150 kW</c:v>
                </c:pt>
                <c:pt idx="375">
                  <c:v>150 kW</c:v>
                </c:pt>
                <c:pt idx="376">
                  <c:v>150 kW</c:v>
                </c:pt>
                <c:pt idx="377">
                  <c:v>150 kW</c:v>
                </c:pt>
                <c:pt idx="378">
                  <c:v>150 kW</c:v>
                </c:pt>
                <c:pt idx="379">
                  <c:v>150 kW</c:v>
                </c:pt>
                <c:pt idx="380">
                  <c:v>150 kW</c:v>
                </c:pt>
                <c:pt idx="381">
                  <c:v>150 kW</c:v>
                </c:pt>
                <c:pt idx="382">
                  <c:v>150 kW</c:v>
                </c:pt>
                <c:pt idx="383">
                  <c:v>150 kW</c:v>
                </c:pt>
                <c:pt idx="384">
                  <c:v>150 kW</c:v>
                </c:pt>
                <c:pt idx="385">
                  <c:v>150 kW</c:v>
                </c:pt>
                <c:pt idx="386">
                  <c:v>150 kW</c:v>
                </c:pt>
                <c:pt idx="387">
                  <c:v>150 kW</c:v>
                </c:pt>
                <c:pt idx="388">
                  <c:v>150 kW</c:v>
                </c:pt>
                <c:pt idx="389">
                  <c:v>150 kW</c:v>
                </c:pt>
                <c:pt idx="390">
                  <c:v>150 kW</c:v>
                </c:pt>
                <c:pt idx="391">
                  <c:v>150 kW</c:v>
                </c:pt>
                <c:pt idx="392">
                  <c:v>150 kW</c:v>
                </c:pt>
                <c:pt idx="393">
                  <c:v>150 kW</c:v>
                </c:pt>
                <c:pt idx="394">
                  <c:v>150 kW</c:v>
                </c:pt>
                <c:pt idx="395">
                  <c:v>150 kW</c:v>
                </c:pt>
                <c:pt idx="396">
                  <c:v>150 kW</c:v>
                </c:pt>
                <c:pt idx="397">
                  <c:v>150 kW</c:v>
                </c:pt>
                <c:pt idx="398">
                  <c:v>150 kW</c:v>
                </c:pt>
                <c:pt idx="399">
                  <c:v>150 kW</c:v>
                </c:pt>
                <c:pt idx="400">
                  <c:v>150 kW</c:v>
                </c:pt>
                <c:pt idx="401">
                  <c:v>150 kW</c:v>
                </c:pt>
                <c:pt idx="402">
                  <c:v>150 kW</c:v>
                </c:pt>
                <c:pt idx="403">
                  <c:v>150 kW</c:v>
                </c:pt>
                <c:pt idx="404">
                  <c:v>150 kW</c:v>
                </c:pt>
                <c:pt idx="405">
                  <c:v>150 kW</c:v>
                </c:pt>
                <c:pt idx="406">
                  <c:v>150 kW</c:v>
                </c:pt>
                <c:pt idx="407">
                  <c:v>150 kW</c:v>
                </c:pt>
                <c:pt idx="408">
                  <c:v>150 kW</c:v>
                </c:pt>
                <c:pt idx="409">
                  <c:v>150 kW</c:v>
                </c:pt>
                <c:pt idx="410">
                  <c:v>150 kW</c:v>
                </c:pt>
                <c:pt idx="411">
                  <c:v>150 kW</c:v>
                </c:pt>
                <c:pt idx="412">
                  <c:v>150 kW</c:v>
                </c:pt>
                <c:pt idx="413">
                  <c:v>150 kW</c:v>
                </c:pt>
                <c:pt idx="414">
                  <c:v>150 kW</c:v>
                </c:pt>
                <c:pt idx="415">
                  <c:v>150 kW</c:v>
                </c:pt>
                <c:pt idx="416">
                  <c:v>150 kW</c:v>
                </c:pt>
                <c:pt idx="417">
                  <c:v>150 kW</c:v>
                </c:pt>
                <c:pt idx="418">
                  <c:v>150 kW</c:v>
                </c:pt>
                <c:pt idx="419">
                  <c:v>150 kW</c:v>
                </c:pt>
                <c:pt idx="420">
                  <c:v>150 kW</c:v>
                </c:pt>
                <c:pt idx="421">
                  <c:v>150 kW</c:v>
                </c:pt>
                <c:pt idx="422">
                  <c:v>150 kW</c:v>
                </c:pt>
                <c:pt idx="423">
                  <c:v>150 kW</c:v>
                </c:pt>
                <c:pt idx="424">
                  <c:v>150 kW</c:v>
                </c:pt>
                <c:pt idx="425">
                  <c:v>150 kW</c:v>
                </c:pt>
                <c:pt idx="426">
                  <c:v>150 kW</c:v>
                </c:pt>
                <c:pt idx="427">
                  <c:v>150 kW</c:v>
                </c:pt>
                <c:pt idx="428">
                  <c:v>150 kW</c:v>
                </c:pt>
                <c:pt idx="429">
                  <c:v>150 kW</c:v>
                </c:pt>
                <c:pt idx="430">
                  <c:v>150 kW</c:v>
                </c:pt>
                <c:pt idx="431">
                  <c:v>150 kW</c:v>
                </c:pt>
                <c:pt idx="432">
                  <c:v>150 kW</c:v>
                </c:pt>
                <c:pt idx="433">
                  <c:v>150 kW</c:v>
                </c:pt>
                <c:pt idx="434">
                  <c:v>150 kW</c:v>
                </c:pt>
                <c:pt idx="435">
                  <c:v>150 kW</c:v>
                </c:pt>
                <c:pt idx="436">
                  <c:v>150 kW</c:v>
                </c:pt>
                <c:pt idx="437">
                  <c:v>150 kW</c:v>
                </c:pt>
                <c:pt idx="438">
                  <c:v>150 kW</c:v>
                </c:pt>
                <c:pt idx="439">
                  <c:v>150 kW</c:v>
                </c:pt>
                <c:pt idx="440">
                  <c:v>150 kW</c:v>
                </c:pt>
                <c:pt idx="441">
                  <c:v>150 kW</c:v>
                </c:pt>
                <c:pt idx="442">
                  <c:v>150 kW</c:v>
                </c:pt>
                <c:pt idx="443">
                  <c:v>150 kW</c:v>
                </c:pt>
                <c:pt idx="444">
                  <c:v>150 kW</c:v>
                </c:pt>
                <c:pt idx="445">
                  <c:v>150 kW</c:v>
                </c:pt>
                <c:pt idx="446">
                  <c:v>150 kW</c:v>
                </c:pt>
                <c:pt idx="447">
                  <c:v>150 kW</c:v>
                </c:pt>
                <c:pt idx="448">
                  <c:v>150 kW</c:v>
                </c:pt>
                <c:pt idx="449">
                  <c:v>150 kW</c:v>
                </c:pt>
                <c:pt idx="450">
                  <c:v>150 kW</c:v>
                </c:pt>
                <c:pt idx="451">
                  <c:v>150 kW</c:v>
                </c:pt>
                <c:pt idx="452">
                  <c:v>150 kW</c:v>
                </c:pt>
                <c:pt idx="453">
                  <c:v>150 kW</c:v>
                </c:pt>
                <c:pt idx="454">
                  <c:v>150 kW</c:v>
                </c:pt>
                <c:pt idx="455">
                  <c:v>150 kW</c:v>
                </c:pt>
                <c:pt idx="456">
                  <c:v>150 kW</c:v>
                </c:pt>
                <c:pt idx="457">
                  <c:v>150 kW</c:v>
                </c:pt>
                <c:pt idx="458">
                  <c:v>150 kW</c:v>
                </c:pt>
                <c:pt idx="459">
                  <c:v>150 kW</c:v>
                </c:pt>
                <c:pt idx="460">
                  <c:v>150 kW</c:v>
                </c:pt>
                <c:pt idx="461">
                  <c:v>150 kW</c:v>
                </c:pt>
                <c:pt idx="462">
                  <c:v>150 kW</c:v>
                </c:pt>
                <c:pt idx="463">
                  <c:v>150 kW</c:v>
                </c:pt>
                <c:pt idx="464">
                  <c:v>150 kW</c:v>
                </c:pt>
                <c:pt idx="465">
                  <c:v>150 kW</c:v>
                </c:pt>
                <c:pt idx="466">
                  <c:v>150 kW</c:v>
                </c:pt>
                <c:pt idx="467">
                  <c:v>150 kW</c:v>
                </c:pt>
                <c:pt idx="468">
                  <c:v>150 kW</c:v>
                </c:pt>
                <c:pt idx="469">
                  <c:v>150 kW</c:v>
                </c:pt>
                <c:pt idx="470">
                  <c:v>150 kW</c:v>
                </c:pt>
                <c:pt idx="471">
                  <c:v>150 kW</c:v>
                </c:pt>
                <c:pt idx="472">
                  <c:v>150 kW</c:v>
                </c:pt>
                <c:pt idx="473">
                  <c:v>150 kW</c:v>
                </c:pt>
                <c:pt idx="474">
                  <c:v>150 kW</c:v>
                </c:pt>
                <c:pt idx="475">
                  <c:v>150 kW</c:v>
                </c:pt>
                <c:pt idx="476">
                  <c:v>150 kW</c:v>
                </c:pt>
                <c:pt idx="477">
                  <c:v>150 kW</c:v>
                </c:pt>
                <c:pt idx="478">
                  <c:v>150 kW</c:v>
                </c:pt>
                <c:pt idx="479">
                  <c:v>150 kW</c:v>
                </c:pt>
                <c:pt idx="480">
                  <c:v>150 kW</c:v>
                </c:pt>
                <c:pt idx="481">
                  <c:v>150 kW</c:v>
                </c:pt>
                <c:pt idx="482">
                  <c:v>150 kW</c:v>
                </c:pt>
                <c:pt idx="483">
                  <c:v>150 kW</c:v>
                </c:pt>
                <c:pt idx="484">
                  <c:v>150 kW</c:v>
                </c:pt>
                <c:pt idx="485">
                  <c:v>150 kW</c:v>
                </c:pt>
                <c:pt idx="486">
                  <c:v>150 kW</c:v>
                </c:pt>
                <c:pt idx="487">
                  <c:v>150 kW</c:v>
                </c:pt>
                <c:pt idx="488">
                  <c:v>150 kW</c:v>
                </c:pt>
                <c:pt idx="489">
                  <c:v>150 kW</c:v>
                </c:pt>
                <c:pt idx="490">
                  <c:v>150 kW</c:v>
                </c:pt>
                <c:pt idx="491">
                  <c:v>150 kW</c:v>
                </c:pt>
                <c:pt idx="492">
                  <c:v>150 kW</c:v>
                </c:pt>
                <c:pt idx="493">
                  <c:v>150 kW</c:v>
                </c:pt>
                <c:pt idx="494">
                  <c:v>150 kW</c:v>
                </c:pt>
                <c:pt idx="495">
                  <c:v>150 kW</c:v>
                </c:pt>
                <c:pt idx="496">
                  <c:v>150 kW</c:v>
                </c:pt>
                <c:pt idx="497">
                  <c:v>150 kW</c:v>
                </c:pt>
                <c:pt idx="498">
                  <c:v>150 kW</c:v>
                </c:pt>
                <c:pt idx="499">
                  <c:v>150 kW</c:v>
                </c:pt>
                <c:pt idx="500">
                  <c:v>150 kW</c:v>
                </c:pt>
                <c:pt idx="501">
                  <c:v>150 kW</c:v>
                </c:pt>
                <c:pt idx="502">
                  <c:v>150 kW</c:v>
                </c:pt>
                <c:pt idx="503">
                  <c:v>150 kW</c:v>
                </c:pt>
                <c:pt idx="504">
                  <c:v>150 kW</c:v>
                </c:pt>
                <c:pt idx="505">
                  <c:v>150 kW</c:v>
                </c:pt>
                <c:pt idx="506">
                  <c:v>150 kW</c:v>
                </c:pt>
                <c:pt idx="507">
                  <c:v>150 kW</c:v>
                </c:pt>
                <c:pt idx="508">
                  <c:v>150 kW</c:v>
                </c:pt>
                <c:pt idx="509">
                  <c:v>150 kW</c:v>
                </c:pt>
                <c:pt idx="510">
                  <c:v>150 kW</c:v>
                </c:pt>
                <c:pt idx="511">
                  <c:v>150 kW</c:v>
                </c:pt>
                <c:pt idx="512">
                  <c:v>150 kW</c:v>
                </c:pt>
                <c:pt idx="513">
                  <c:v>150 kW</c:v>
                </c:pt>
                <c:pt idx="514">
                  <c:v>150 kW</c:v>
                </c:pt>
                <c:pt idx="515">
                  <c:v>150 kW</c:v>
                </c:pt>
                <c:pt idx="516">
                  <c:v>150 kW</c:v>
                </c:pt>
                <c:pt idx="517">
                  <c:v>150 kW</c:v>
                </c:pt>
                <c:pt idx="518">
                  <c:v>150 kW</c:v>
                </c:pt>
                <c:pt idx="519">
                  <c:v>150 kW</c:v>
                </c:pt>
                <c:pt idx="520">
                  <c:v>150 kW</c:v>
                </c:pt>
                <c:pt idx="521">
                  <c:v>150 kW</c:v>
                </c:pt>
                <c:pt idx="522">
                  <c:v>150 kW</c:v>
                </c:pt>
                <c:pt idx="523">
                  <c:v>150 kW</c:v>
                </c:pt>
                <c:pt idx="524">
                  <c:v>150 kW</c:v>
                </c:pt>
                <c:pt idx="525">
                  <c:v>150 kW</c:v>
                </c:pt>
                <c:pt idx="526">
                  <c:v>150 kW</c:v>
                </c:pt>
                <c:pt idx="527">
                  <c:v>150 kW</c:v>
                </c:pt>
                <c:pt idx="528">
                  <c:v>150 kW</c:v>
                </c:pt>
                <c:pt idx="529">
                  <c:v>150 kW</c:v>
                </c:pt>
                <c:pt idx="530">
                  <c:v>150 kW</c:v>
                </c:pt>
                <c:pt idx="531">
                  <c:v>150 kW</c:v>
                </c:pt>
                <c:pt idx="532">
                  <c:v>150 kW</c:v>
                </c:pt>
                <c:pt idx="533">
                  <c:v>150 kW</c:v>
                </c:pt>
                <c:pt idx="534">
                  <c:v>150 kW</c:v>
                </c:pt>
                <c:pt idx="535">
                  <c:v>150 kW</c:v>
                </c:pt>
                <c:pt idx="536">
                  <c:v>150 kW</c:v>
                </c:pt>
                <c:pt idx="537">
                  <c:v>150 kW</c:v>
                </c:pt>
                <c:pt idx="538">
                  <c:v>150 kW</c:v>
                </c:pt>
                <c:pt idx="539">
                  <c:v>150 kW</c:v>
                </c:pt>
                <c:pt idx="540">
                  <c:v>150 kW</c:v>
                </c:pt>
                <c:pt idx="541">
                  <c:v>150 kW</c:v>
                </c:pt>
                <c:pt idx="542">
                  <c:v>150 kW</c:v>
                </c:pt>
                <c:pt idx="543">
                  <c:v>150 kW</c:v>
                </c:pt>
                <c:pt idx="544">
                  <c:v>150 kW</c:v>
                </c:pt>
                <c:pt idx="545">
                  <c:v>150 kW</c:v>
                </c:pt>
                <c:pt idx="546">
                  <c:v>150 kW</c:v>
                </c:pt>
                <c:pt idx="547">
                  <c:v>150 kW</c:v>
                </c:pt>
                <c:pt idx="548">
                  <c:v>150 kW</c:v>
                </c:pt>
                <c:pt idx="549">
                  <c:v>150 kW</c:v>
                </c:pt>
                <c:pt idx="550">
                  <c:v>150 kW</c:v>
                </c:pt>
                <c:pt idx="551">
                  <c:v>150 kW</c:v>
                </c:pt>
                <c:pt idx="552">
                  <c:v>150 kW</c:v>
                </c:pt>
                <c:pt idx="553">
                  <c:v>150 kW</c:v>
                </c:pt>
                <c:pt idx="554">
                  <c:v>150 kW</c:v>
                </c:pt>
                <c:pt idx="555">
                  <c:v>150 kW</c:v>
                </c:pt>
                <c:pt idx="556">
                  <c:v>150 kW</c:v>
                </c:pt>
                <c:pt idx="557">
                  <c:v>150 kW</c:v>
                </c:pt>
                <c:pt idx="558">
                  <c:v>150 kW</c:v>
                </c:pt>
                <c:pt idx="559">
                  <c:v>150 kW</c:v>
                </c:pt>
                <c:pt idx="560">
                  <c:v>150 kW</c:v>
                </c:pt>
                <c:pt idx="561">
                  <c:v>150 kW</c:v>
                </c:pt>
                <c:pt idx="562">
                  <c:v>150 kW</c:v>
                </c:pt>
                <c:pt idx="563">
                  <c:v>150 kW</c:v>
                </c:pt>
                <c:pt idx="564">
                  <c:v>150 kW</c:v>
                </c:pt>
                <c:pt idx="565">
                  <c:v>150 kW</c:v>
                </c:pt>
                <c:pt idx="566">
                  <c:v>150 kW</c:v>
                </c:pt>
                <c:pt idx="567">
                  <c:v>150 kW</c:v>
                </c:pt>
                <c:pt idx="568">
                  <c:v>150 kW</c:v>
                </c:pt>
                <c:pt idx="569">
                  <c:v>150 kW</c:v>
                </c:pt>
                <c:pt idx="570">
                  <c:v>150 kW</c:v>
                </c:pt>
                <c:pt idx="571">
                  <c:v>150 kW</c:v>
                </c:pt>
                <c:pt idx="572">
                  <c:v>150 kW</c:v>
                </c:pt>
                <c:pt idx="573">
                  <c:v>150 kW</c:v>
                </c:pt>
                <c:pt idx="574">
                  <c:v>150 kW</c:v>
                </c:pt>
                <c:pt idx="575">
                  <c:v>150 kW</c:v>
                </c:pt>
                <c:pt idx="576">
                  <c:v>150 kW</c:v>
                </c:pt>
                <c:pt idx="577">
                  <c:v>150 kW</c:v>
                </c:pt>
                <c:pt idx="578">
                  <c:v>150 kW</c:v>
                </c:pt>
                <c:pt idx="579">
                  <c:v>150 kW</c:v>
                </c:pt>
                <c:pt idx="580">
                  <c:v>150 kW</c:v>
                </c:pt>
                <c:pt idx="581">
                  <c:v>150 kW</c:v>
                </c:pt>
                <c:pt idx="582">
                  <c:v>150 kW</c:v>
                </c:pt>
                <c:pt idx="583">
                  <c:v>150 kW</c:v>
                </c:pt>
                <c:pt idx="584">
                  <c:v>150 kW</c:v>
                </c:pt>
                <c:pt idx="585">
                  <c:v>150 kW</c:v>
                </c:pt>
                <c:pt idx="586">
                  <c:v>150 kW</c:v>
                </c:pt>
                <c:pt idx="587">
                  <c:v>150 kW</c:v>
                </c:pt>
                <c:pt idx="588">
                  <c:v>150 kW</c:v>
                </c:pt>
                <c:pt idx="589">
                  <c:v>150 kW</c:v>
                </c:pt>
                <c:pt idx="590">
                  <c:v>150 kW</c:v>
                </c:pt>
                <c:pt idx="591">
                  <c:v>150 kW</c:v>
                </c:pt>
                <c:pt idx="592">
                  <c:v>150 kW</c:v>
                </c:pt>
                <c:pt idx="593">
                  <c:v>150 kW</c:v>
                </c:pt>
                <c:pt idx="594">
                  <c:v>150 kW</c:v>
                </c:pt>
                <c:pt idx="595">
                  <c:v>150 kW</c:v>
                </c:pt>
                <c:pt idx="596">
                  <c:v>150 kW</c:v>
                </c:pt>
                <c:pt idx="597">
                  <c:v>150 kW</c:v>
                </c:pt>
                <c:pt idx="598">
                  <c:v>150 kW</c:v>
                </c:pt>
                <c:pt idx="599">
                  <c:v>150 kW</c:v>
                </c:pt>
                <c:pt idx="600">
                  <c:v>150 kW</c:v>
                </c:pt>
                <c:pt idx="601">
                  <c:v>150 kW</c:v>
                </c:pt>
                <c:pt idx="602">
                  <c:v>150 kW</c:v>
                </c:pt>
                <c:pt idx="603">
                  <c:v>150 kW</c:v>
                </c:pt>
                <c:pt idx="604">
                  <c:v>150 kW</c:v>
                </c:pt>
                <c:pt idx="605">
                  <c:v>150 kW</c:v>
                </c:pt>
                <c:pt idx="606">
                  <c:v>150 kW</c:v>
                </c:pt>
                <c:pt idx="607">
                  <c:v>150 kW</c:v>
                </c:pt>
                <c:pt idx="608">
                  <c:v>150 kW</c:v>
                </c:pt>
                <c:pt idx="609">
                  <c:v>150 kW</c:v>
                </c:pt>
                <c:pt idx="610">
                  <c:v>150 kW</c:v>
                </c:pt>
                <c:pt idx="611">
                  <c:v>150 kW</c:v>
                </c:pt>
                <c:pt idx="612">
                  <c:v>150 kW</c:v>
                </c:pt>
                <c:pt idx="613">
                  <c:v>150 kW</c:v>
                </c:pt>
                <c:pt idx="614">
                  <c:v>150 kW</c:v>
                </c:pt>
                <c:pt idx="615">
                  <c:v>150 kW</c:v>
                </c:pt>
                <c:pt idx="616">
                  <c:v>150 kW</c:v>
                </c:pt>
                <c:pt idx="617">
                  <c:v>150 kW</c:v>
                </c:pt>
                <c:pt idx="618">
                  <c:v>150 kW</c:v>
                </c:pt>
                <c:pt idx="619">
                  <c:v>150 kW</c:v>
                </c:pt>
                <c:pt idx="620">
                  <c:v>150 kW</c:v>
                </c:pt>
                <c:pt idx="621">
                  <c:v>150 kW</c:v>
                </c:pt>
                <c:pt idx="622">
                  <c:v>150 kW</c:v>
                </c:pt>
                <c:pt idx="623">
                  <c:v>150 kW</c:v>
                </c:pt>
                <c:pt idx="624">
                  <c:v>150 kW</c:v>
                </c:pt>
                <c:pt idx="625">
                  <c:v>150 kW</c:v>
                </c:pt>
                <c:pt idx="626">
                  <c:v>150 kW</c:v>
                </c:pt>
                <c:pt idx="627">
                  <c:v>150 kW</c:v>
                </c:pt>
                <c:pt idx="628">
                  <c:v>150 kW</c:v>
                </c:pt>
                <c:pt idx="629">
                  <c:v>150 kW</c:v>
                </c:pt>
                <c:pt idx="630">
                  <c:v>150 kW</c:v>
                </c:pt>
                <c:pt idx="631">
                  <c:v>150 kW</c:v>
                </c:pt>
                <c:pt idx="632">
                  <c:v>150 kW</c:v>
                </c:pt>
                <c:pt idx="633">
                  <c:v>150 kW</c:v>
                </c:pt>
                <c:pt idx="634">
                  <c:v>150 kW</c:v>
                </c:pt>
                <c:pt idx="635">
                  <c:v>150 kW</c:v>
                </c:pt>
                <c:pt idx="636">
                  <c:v>150 kW</c:v>
                </c:pt>
                <c:pt idx="637">
                  <c:v>150 kW</c:v>
                </c:pt>
                <c:pt idx="638">
                  <c:v>130 kW</c:v>
                </c:pt>
                <c:pt idx="639">
                  <c:v>130 kW</c:v>
                </c:pt>
                <c:pt idx="640">
                  <c:v>135 kW</c:v>
                </c:pt>
                <c:pt idx="641">
                  <c:v>135 kW</c:v>
                </c:pt>
                <c:pt idx="642">
                  <c:v>105 kW</c:v>
                </c:pt>
                <c:pt idx="643">
                  <c:v>105 kW</c:v>
                </c:pt>
                <c:pt idx="644">
                  <c:v>105 kW</c:v>
                </c:pt>
                <c:pt idx="645">
                  <c:v>105 kW</c:v>
                </c:pt>
                <c:pt idx="646">
                  <c:v>105 kW</c:v>
                </c:pt>
                <c:pt idx="647">
                  <c:v>105 kW</c:v>
                </c:pt>
                <c:pt idx="648">
                  <c:v>105 kW</c:v>
                </c:pt>
                <c:pt idx="649">
                  <c:v>105 kW</c:v>
                </c:pt>
                <c:pt idx="650">
                  <c:v>105 kW</c:v>
                </c:pt>
                <c:pt idx="651">
                  <c:v>105 kW</c:v>
                </c:pt>
                <c:pt idx="652">
                  <c:v>105 kW</c:v>
                </c:pt>
                <c:pt idx="653">
                  <c:v>125 kW</c:v>
                </c:pt>
                <c:pt idx="654">
                  <c:v>130 kW</c:v>
                </c:pt>
                <c:pt idx="655">
                  <c:v>125 kW</c:v>
                </c:pt>
                <c:pt idx="656">
                  <c:v>125 kW</c:v>
                </c:pt>
                <c:pt idx="657">
                  <c:v>125 kW</c:v>
                </c:pt>
                <c:pt idx="658">
                  <c:v>150 kW</c:v>
                </c:pt>
                <c:pt idx="659">
                  <c:v>150 kW</c:v>
                </c:pt>
                <c:pt idx="660">
                  <c:v>150 kW</c:v>
                </c:pt>
                <c:pt idx="661">
                  <c:v>150 kW</c:v>
                </c:pt>
                <c:pt idx="662">
                  <c:v>150 kW</c:v>
                </c:pt>
                <c:pt idx="663">
                  <c:v>150 kW</c:v>
                </c:pt>
                <c:pt idx="664">
                  <c:v>150 kW</c:v>
                </c:pt>
                <c:pt idx="665">
                  <c:v>150 kW</c:v>
                </c:pt>
                <c:pt idx="666">
                  <c:v>150 kW</c:v>
                </c:pt>
                <c:pt idx="667">
                  <c:v>150 kW</c:v>
                </c:pt>
                <c:pt idx="668">
                  <c:v>150 kW</c:v>
                </c:pt>
                <c:pt idx="669">
                  <c:v>150 kW</c:v>
                </c:pt>
                <c:pt idx="670">
                  <c:v>150 kW</c:v>
                </c:pt>
                <c:pt idx="671">
                  <c:v>150 kW</c:v>
                </c:pt>
                <c:pt idx="672">
                  <c:v>150 kW</c:v>
                </c:pt>
                <c:pt idx="673">
                  <c:v>150 kW</c:v>
                </c:pt>
                <c:pt idx="674">
                  <c:v>150 kW</c:v>
                </c:pt>
                <c:pt idx="675">
                  <c:v>150 kW</c:v>
                </c:pt>
                <c:pt idx="676">
                  <c:v>150 kW</c:v>
                </c:pt>
                <c:pt idx="677">
                  <c:v>150 kW</c:v>
                </c:pt>
                <c:pt idx="678">
                  <c:v>150 kW</c:v>
                </c:pt>
                <c:pt idx="679">
                  <c:v>150 kW</c:v>
                </c:pt>
                <c:pt idx="680">
                  <c:v>150 kW</c:v>
                </c:pt>
                <c:pt idx="681">
                  <c:v>150 kW</c:v>
                </c:pt>
                <c:pt idx="682">
                  <c:v>150 kW</c:v>
                </c:pt>
                <c:pt idx="683">
                  <c:v>150 kW</c:v>
                </c:pt>
                <c:pt idx="684">
                  <c:v>150 kW</c:v>
                </c:pt>
                <c:pt idx="685">
                  <c:v>150 kW</c:v>
                </c:pt>
                <c:pt idx="686">
                  <c:v>150 kW</c:v>
                </c:pt>
                <c:pt idx="687">
                  <c:v>150 kW</c:v>
                </c:pt>
                <c:pt idx="688">
                  <c:v>150 kW</c:v>
                </c:pt>
                <c:pt idx="689">
                  <c:v>150 kW</c:v>
                </c:pt>
                <c:pt idx="690">
                  <c:v>150 kW</c:v>
                </c:pt>
                <c:pt idx="691">
                  <c:v>150 kW</c:v>
                </c:pt>
                <c:pt idx="692">
                  <c:v>150 kW</c:v>
                </c:pt>
                <c:pt idx="693">
                  <c:v>150 kW</c:v>
                </c:pt>
                <c:pt idx="694">
                  <c:v>150 kW</c:v>
                </c:pt>
                <c:pt idx="695">
                  <c:v>150 kW</c:v>
                </c:pt>
                <c:pt idx="696">
                  <c:v>150 kW</c:v>
                </c:pt>
                <c:pt idx="697">
                  <c:v>150 kW</c:v>
                </c:pt>
                <c:pt idx="698">
                  <c:v>150 kW</c:v>
                </c:pt>
                <c:pt idx="699">
                  <c:v>150 kW</c:v>
                </c:pt>
                <c:pt idx="700">
                  <c:v>150 kW</c:v>
                </c:pt>
                <c:pt idx="701">
                  <c:v>150 kW</c:v>
                </c:pt>
                <c:pt idx="702">
                  <c:v>150 kW</c:v>
                </c:pt>
                <c:pt idx="703">
                  <c:v>150 kW</c:v>
                </c:pt>
                <c:pt idx="704">
                  <c:v>150 kW</c:v>
                </c:pt>
                <c:pt idx="705">
                  <c:v>150 kW</c:v>
                </c:pt>
                <c:pt idx="706">
                  <c:v>150 kW</c:v>
                </c:pt>
                <c:pt idx="707">
                  <c:v>150 kW</c:v>
                </c:pt>
                <c:pt idx="708">
                  <c:v>150 kW</c:v>
                </c:pt>
                <c:pt idx="709">
                  <c:v>150 kW</c:v>
                </c:pt>
                <c:pt idx="710">
                  <c:v>150 kW</c:v>
                </c:pt>
                <c:pt idx="711">
                  <c:v>150 kW</c:v>
                </c:pt>
                <c:pt idx="712">
                  <c:v>150 kW</c:v>
                </c:pt>
                <c:pt idx="713">
                  <c:v>150 kW</c:v>
                </c:pt>
                <c:pt idx="714">
                  <c:v>150 kW</c:v>
                </c:pt>
                <c:pt idx="715">
                  <c:v>150 kW</c:v>
                </c:pt>
                <c:pt idx="716">
                  <c:v>150 kW</c:v>
                </c:pt>
                <c:pt idx="717">
                  <c:v>150 kW</c:v>
                </c:pt>
                <c:pt idx="718">
                  <c:v>150 kW</c:v>
                </c:pt>
                <c:pt idx="719">
                  <c:v>150 kW</c:v>
                </c:pt>
                <c:pt idx="720">
                  <c:v>150 kW</c:v>
                </c:pt>
                <c:pt idx="721">
                  <c:v>150 kW</c:v>
                </c:pt>
                <c:pt idx="722">
                  <c:v>150 kW</c:v>
                </c:pt>
                <c:pt idx="723">
                  <c:v>150 kW</c:v>
                </c:pt>
                <c:pt idx="724">
                  <c:v>150 kW</c:v>
                </c:pt>
                <c:pt idx="725">
                  <c:v>150 kW</c:v>
                </c:pt>
                <c:pt idx="726">
                  <c:v>150 kW</c:v>
                </c:pt>
                <c:pt idx="727">
                  <c:v>150 kW</c:v>
                </c:pt>
                <c:pt idx="728">
                  <c:v>150 kW</c:v>
                </c:pt>
                <c:pt idx="729">
                  <c:v>150 kW</c:v>
                </c:pt>
                <c:pt idx="730">
                  <c:v>150 kW</c:v>
                </c:pt>
                <c:pt idx="731">
                  <c:v>150 kW</c:v>
                </c:pt>
                <c:pt idx="732">
                  <c:v>150 kW</c:v>
                </c:pt>
                <c:pt idx="733">
                  <c:v>150 kW</c:v>
                </c:pt>
                <c:pt idx="734">
                  <c:v>150 kW</c:v>
                </c:pt>
                <c:pt idx="735">
                  <c:v>150 kW</c:v>
                </c:pt>
                <c:pt idx="736">
                  <c:v>150 kW</c:v>
                </c:pt>
                <c:pt idx="737">
                  <c:v>150 kW</c:v>
                </c:pt>
                <c:pt idx="738">
                  <c:v>150 kW</c:v>
                </c:pt>
                <c:pt idx="739">
                  <c:v>150 kW</c:v>
                </c:pt>
                <c:pt idx="740">
                  <c:v>150 kW</c:v>
                </c:pt>
                <c:pt idx="741">
                  <c:v>150 kW</c:v>
                </c:pt>
                <c:pt idx="742">
                  <c:v>150 kW</c:v>
                </c:pt>
                <c:pt idx="743">
                  <c:v>150 kW</c:v>
                </c:pt>
                <c:pt idx="744">
                  <c:v>150 kW</c:v>
                </c:pt>
                <c:pt idx="745">
                  <c:v>150 kW</c:v>
                </c:pt>
                <c:pt idx="746">
                  <c:v>150 kW</c:v>
                </c:pt>
                <c:pt idx="747">
                  <c:v>150 kW</c:v>
                </c:pt>
                <c:pt idx="748">
                  <c:v>150 kW</c:v>
                </c:pt>
                <c:pt idx="749">
                  <c:v>150 kW</c:v>
                </c:pt>
                <c:pt idx="750">
                  <c:v>150 kW</c:v>
                </c:pt>
                <c:pt idx="751">
                  <c:v>150 kW</c:v>
                </c:pt>
                <c:pt idx="752">
                  <c:v>150 kW</c:v>
                </c:pt>
                <c:pt idx="753">
                  <c:v>150 kW</c:v>
                </c:pt>
                <c:pt idx="754">
                  <c:v>150 kW</c:v>
                </c:pt>
                <c:pt idx="755">
                  <c:v>150 kW</c:v>
                </c:pt>
                <c:pt idx="756">
                  <c:v>150 kW</c:v>
                </c:pt>
                <c:pt idx="757">
                  <c:v>150 kW</c:v>
                </c:pt>
                <c:pt idx="758">
                  <c:v>150 kW</c:v>
                </c:pt>
                <c:pt idx="759">
                  <c:v>150 kW</c:v>
                </c:pt>
                <c:pt idx="760">
                  <c:v>150 kW</c:v>
                </c:pt>
                <c:pt idx="761">
                  <c:v>150 kW</c:v>
                </c:pt>
                <c:pt idx="762">
                  <c:v>150 kW</c:v>
                </c:pt>
                <c:pt idx="763">
                  <c:v>150 kW</c:v>
                </c:pt>
                <c:pt idx="764">
                  <c:v>150 kW</c:v>
                </c:pt>
                <c:pt idx="765">
                  <c:v>150 kW</c:v>
                </c:pt>
                <c:pt idx="766">
                  <c:v>150 kW</c:v>
                </c:pt>
                <c:pt idx="767">
                  <c:v>150 kW</c:v>
                </c:pt>
                <c:pt idx="768">
                  <c:v>150 kW</c:v>
                </c:pt>
                <c:pt idx="769">
                  <c:v>150 kW</c:v>
                </c:pt>
                <c:pt idx="770">
                  <c:v>150 kW</c:v>
                </c:pt>
                <c:pt idx="771">
                  <c:v>150 kW</c:v>
                </c:pt>
                <c:pt idx="772">
                  <c:v>150 kW</c:v>
                </c:pt>
                <c:pt idx="773">
                  <c:v>150 kW</c:v>
                </c:pt>
                <c:pt idx="774">
                  <c:v>150 kW</c:v>
                </c:pt>
                <c:pt idx="775">
                  <c:v>150 kW</c:v>
                </c:pt>
                <c:pt idx="776">
                  <c:v>150 kW</c:v>
                </c:pt>
                <c:pt idx="777">
                  <c:v>150 kW</c:v>
                </c:pt>
                <c:pt idx="778">
                  <c:v>150 kW</c:v>
                </c:pt>
                <c:pt idx="779">
                  <c:v>150 kW</c:v>
                </c:pt>
                <c:pt idx="780">
                  <c:v>150 kW</c:v>
                </c:pt>
                <c:pt idx="781">
                  <c:v>150 kW</c:v>
                </c:pt>
                <c:pt idx="782">
                  <c:v>150 kW</c:v>
                </c:pt>
                <c:pt idx="783">
                  <c:v>150 kW</c:v>
                </c:pt>
                <c:pt idx="784">
                  <c:v>150 kW</c:v>
                </c:pt>
                <c:pt idx="785">
                  <c:v>150 kW</c:v>
                </c:pt>
                <c:pt idx="786">
                  <c:v>150 kW</c:v>
                </c:pt>
                <c:pt idx="787">
                  <c:v>150 kW</c:v>
                </c:pt>
                <c:pt idx="788">
                  <c:v>150 kW</c:v>
                </c:pt>
                <c:pt idx="789">
                  <c:v>150 kW</c:v>
                </c:pt>
                <c:pt idx="790">
                  <c:v>150 kW</c:v>
                </c:pt>
                <c:pt idx="791">
                  <c:v>150 kW</c:v>
                </c:pt>
                <c:pt idx="792">
                  <c:v>150 kW</c:v>
                </c:pt>
                <c:pt idx="793">
                  <c:v>150 kW</c:v>
                </c:pt>
                <c:pt idx="794">
                  <c:v>150 kW</c:v>
                </c:pt>
                <c:pt idx="795">
                  <c:v>150 kW</c:v>
                </c:pt>
                <c:pt idx="796">
                  <c:v>150 kW</c:v>
                </c:pt>
                <c:pt idx="797">
                  <c:v>150 kW</c:v>
                </c:pt>
                <c:pt idx="798">
                  <c:v>150 kW</c:v>
                </c:pt>
                <c:pt idx="799">
                  <c:v>150 kW</c:v>
                </c:pt>
                <c:pt idx="800">
                  <c:v>150 kW</c:v>
                </c:pt>
                <c:pt idx="801">
                  <c:v>150 kW</c:v>
                </c:pt>
                <c:pt idx="802">
                  <c:v>150 kW</c:v>
                </c:pt>
                <c:pt idx="803">
                  <c:v>150 kW</c:v>
                </c:pt>
                <c:pt idx="804">
                  <c:v>150 kW</c:v>
                </c:pt>
                <c:pt idx="805">
                  <c:v>150 kW</c:v>
                </c:pt>
                <c:pt idx="806">
                  <c:v>150 kW</c:v>
                </c:pt>
                <c:pt idx="807">
                  <c:v>150 kW</c:v>
                </c:pt>
                <c:pt idx="808">
                  <c:v>150 kW</c:v>
                </c:pt>
                <c:pt idx="809">
                  <c:v>150 kW</c:v>
                </c:pt>
                <c:pt idx="810">
                  <c:v>150 kW</c:v>
                </c:pt>
                <c:pt idx="811">
                  <c:v>150 kW</c:v>
                </c:pt>
                <c:pt idx="812">
                  <c:v>150 kW</c:v>
                </c:pt>
                <c:pt idx="813">
                  <c:v>150 kW</c:v>
                </c:pt>
                <c:pt idx="814">
                  <c:v>150 kW</c:v>
                </c:pt>
                <c:pt idx="815">
                  <c:v>150 kW</c:v>
                </c:pt>
                <c:pt idx="816">
                  <c:v>150 kW</c:v>
                </c:pt>
                <c:pt idx="817">
                  <c:v>150 kW</c:v>
                </c:pt>
                <c:pt idx="818">
                  <c:v>150 kW</c:v>
                </c:pt>
                <c:pt idx="819">
                  <c:v>150 kW</c:v>
                </c:pt>
                <c:pt idx="820">
                  <c:v>150 kW</c:v>
                </c:pt>
                <c:pt idx="821">
                  <c:v>150 kW</c:v>
                </c:pt>
                <c:pt idx="822">
                  <c:v>150 kW</c:v>
                </c:pt>
                <c:pt idx="823">
                  <c:v>150 kW</c:v>
                </c:pt>
                <c:pt idx="824">
                  <c:v>150 kW</c:v>
                </c:pt>
                <c:pt idx="825">
                  <c:v>150 kW</c:v>
                </c:pt>
                <c:pt idx="826">
                  <c:v>150 kW</c:v>
                </c:pt>
                <c:pt idx="827">
                  <c:v>150 kW</c:v>
                </c:pt>
                <c:pt idx="828">
                  <c:v>150 kW</c:v>
                </c:pt>
                <c:pt idx="829">
                  <c:v>150 kW</c:v>
                </c:pt>
                <c:pt idx="830">
                  <c:v>150 kW</c:v>
                </c:pt>
                <c:pt idx="831">
                  <c:v>150 kW</c:v>
                </c:pt>
                <c:pt idx="832">
                  <c:v>150 kW</c:v>
                </c:pt>
                <c:pt idx="833">
                  <c:v>150 kW</c:v>
                </c:pt>
                <c:pt idx="834">
                  <c:v>150 kW</c:v>
                </c:pt>
                <c:pt idx="835">
                  <c:v>150 kW</c:v>
                </c:pt>
                <c:pt idx="836">
                  <c:v>150 kW</c:v>
                </c:pt>
                <c:pt idx="837">
                  <c:v>150 kW</c:v>
                </c:pt>
                <c:pt idx="838">
                  <c:v>150 kW</c:v>
                </c:pt>
                <c:pt idx="839">
                  <c:v>150 kW</c:v>
                </c:pt>
                <c:pt idx="840">
                  <c:v>150 kW</c:v>
                </c:pt>
                <c:pt idx="841">
                  <c:v>150 kW</c:v>
                </c:pt>
                <c:pt idx="842">
                  <c:v>150 kW</c:v>
                </c:pt>
                <c:pt idx="843">
                  <c:v>150 kW</c:v>
                </c:pt>
                <c:pt idx="844">
                  <c:v>150 kW</c:v>
                </c:pt>
                <c:pt idx="845">
                  <c:v>150 kW</c:v>
                </c:pt>
                <c:pt idx="846">
                  <c:v>150 kW</c:v>
                </c:pt>
                <c:pt idx="847">
                  <c:v>150 kW</c:v>
                </c:pt>
                <c:pt idx="848">
                  <c:v>150 kW</c:v>
                </c:pt>
                <c:pt idx="849">
                  <c:v>150 kW</c:v>
                </c:pt>
                <c:pt idx="850">
                  <c:v>150 kW</c:v>
                </c:pt>
                <c:pt idx="851">
                  <c:v>150 kW</c:v>
                </c:pt>
                <c:pt idx="852">
                  <c:v>150 kW</c:v>
                </c:pt>
                <c:pt idx="853">
                  <c:v>150 kW</c:v>
                </c:pt>
                <c:pt idx="854">
                  <c:v>150 kW</c:v>
                </c:pt>
                <c:pt idx="855">
                  <c:v>150 kW</c:v>
                </c:pt>
                <c:pt idx="856">
                  <c:v>150 kW</c:v>
                </c:pt>
                <c:pt idx="857">
                  <c:v>150 kW</c:v>
                </c:pt>
                <c:pt idx="858">
                  <c:v>150 kW</c:v>
                </c:pt>
                <c:pt idx="859">
                  <c:v>150 kW</c:v>
                </c:pt>
                <c:pt idx="860">
                  <c:v>150 kW</c:v>
                </c:pt>
                <c:pt idx="861">
                  <c:v>150 kW</c:v>
                </c:pt>
                <c:pt idx="862">
                  <c:v>150 kW</c:v>
                </c:pt>
                <c:pt idx="863">
                  <c:v>150 kW</c:v>
                </c:pt>
                <c:pt idx="864">
                  <c:v>150 kW</c:v>
                </c:pt>
                <c:pt idx="865">
                  <c:v>150 kW</c:v>
                </c:pt>
                <c:pt idx="866">
                  <c:v>150 kW</c:v>
                </c:pt>
                <c:pt idx="867">
                  <c:v>150 kW</c:v>
                </c:pt>
                <c:pt idx="868">
                  <c:v>150 kW</c:v>
                </c:pt>
                <c:pt idx="869">
                  <c:v>150 kW</c:v>
                </c:pt>
                <c:pt idx="870">
                  <c:v>150 kW</c:v>
                </c:pt>
                <c:pt idx="871">
                  <c:v>150 kW</c:v>
                </c:pt>
                <c:pt idx="872">
                  <c:v>150 kW</c:v>
                </c:pt>
                <c:pt idx="873">
                  <c:v>150 kW</c:v>
                </c:pt>
                <c:pt idx="874">
                  <c:v>150 kW</c:v>
                </c:pt>
                <c:pt idx="875">
                  <c:v>150 kW</c:v>
                </c:pt>
                <c:pt idx="876">
                  <c:v>150 kW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'Pot. Pico'!$A$2:$A$879</c:f>
              <c:strCache>
                <c:ptCount val="878"/>
                <c:pt idx="0">
                  <c:v>Data/Hora</c:v>
                </c:pt>
                <c:pt idx="1">
                  <c:v>1/1/23 10:05</c:v>
                </c:pt>
                <c:pt idx="2">
                  <c:v>1/1/23 10:06</c:v>
                </c:pt>
                <c:pt idx="3">
                  <c:v>1/1/23 13:22</c:v>
                </c:pt>
                <c:pt idx="4">
                  <c:v>1/1/23 13:22</c:v>
                </c:pt>
                <c:pt idx="5">
                  <c:v>1/1/23 13:22</c:v>
                </c:pt>
                <c:pt idx="6">
                  <c:v>1/1/23 13:23</c:v>
                </c:pt>
                <c:pt idx="7">
                  <c:v>1/1/23 13:23</c:v>
                </c:pt>
                <c:pt idx="8">
                  <c:v>1/1/23 13:25</c:v>
                </c:pt>
                <c:pt idx="9">
                  <c:v>1/1/23 13:25</c:v>
                </c:pt>
                <c:pt idx="10">
                  <c:v>1/1/23 13:26</c:v>
                </c:pt>
                <c:pt idx="11">
                  <c:v>1/1/23 13:26</c:v>
                </c:pt>
                <c:pt idx="12">
                  <c:v>1/1/23 13:26</c:v>
                </c:pt>
                <c:pt idx="13">
                  <c:v>1/1/23 13:26</c:v>
                </c:pt>
                <c:pt idx="14">
                  <c:v>1/1/23 13:56</c:v>
                </c:pt>
                <c:pt idx="15">
                  <c:v>1/1/23 13:56</c:v>
                </c:pt>
                <c:pt idx="16">
                  <c:v>1/1/23 14:11</c:v>
                </c:pt>
                <c:pt idx="17">
                  <c:v>2/1/23 9:22</c:v>
                </c:pt>
                <c:pt idx="18">
                  <c:v>2/1/23 9:22</c:v>
                </c:pt>
                <c:pt idx="19">
                  <c:v>2/1/23 9:22</c:v>
                </c:pt>
                <c:pt idx="20">
                  <c:v>2/1/23 9:22</c:v>
                </c:pt>
                <c:pt idx="21">
                  <c:v>2/1/23 9:23</c:v>
                </c:pt>
                <c:pt idx="22">
                  <c:v>2/1/23 9:24</c:v>
                </c:pt>
                <c:pt idx="23">
                  <c:v>2/1/23 9:24</c:v>
                </c:pt>
                <c:pt idx="24">
                  <c:v>2/1/23 9:31</c:v>
                </c:pt>
                <c:pt idx="25">
                  <c:v>2/1/23 9:32</c:v>
                </c:pt>
                <c:pt idx="26">
                  <c:v>2/1/23 9:32</c:v>
                </c:pt>
                <c:pt idx="27">
                  <c:v>2/1/23 9:32</c:v>
                </c:pt>
                <c:pt idx="28">
                  <c:v>2/1/23 9:46</c:v>
                </c:pt>
                <c:pt idx="29">
                  <c:v>2/1/23 9:47</c:v>
                </c:pt>
                <c:pt idx="30">
                  <c:v>2/1/23 9:47</c:v>
                </c:pt>
                <c:pt idx="31">
                  <c:v>2/1/23 10:00</c:v>
                </c:pt>
                <c:pt idx="32">
                  <c:v>2/1/23 10:00</c:v>
                </c:pt>
                <c:pt idx="33">
                  <c:v>2/1/23 10:00</c:v>
                </c:pt>
                <c:pt idx="34">
                  <c:v>2/1/23 10:00</c:v>
                </c:pt>
                <c:pt idx="35">
                  <c:v>2/1/23 10:00</c:v>
                </c:pt>
                <c:pt idx="36">
                  <c:v>2/1/23 10:00</c:v>
                </c:pt>
                <c:pt idx="37">
                  <c:v>2/1/23 10:01</c:v>
                </c:pt>
                <c:pt idx="38">
                  <c:v>2/1/23 10:01</c:v>
                </c:pt>
                <c:pt idx="39">
                  <c:v>2/1/23 10:01</c:v>
                </c:pt>
                <c:pt idx="40">
                  <c:v>2/1/23 10:01</c:v>
                </c:pt>
                <c:pt idx="41">
                  <c:v>2/1/23 10:01</c:v>
                </c:pt>
                <c:pt idx="42">
                  <c:v>2/1/23 10:02</c:v>
                </c:pt>
                <c:pt idx="43">
                  <c:v>2/1/23 10:03</c:v>
                </c:pt>
                <c:pt idx="44">
                  <c:v>2/1/23 10:10</c:v>
                </c:pt>
                <c:pt idx="45">
                  <c:v>2/1/23 10:11</c:v>
                </c:pt>
                <c:pt idx="46">
                  <c:v>2/1/23 10:11</c:v>
                </c:pt>
                <c:pt idx="47">
                  <c:v>2/1/23 10:12</c:v>
                </c:pt>
                <c:pt idx="48">
                  <c:v>2/1/23 10:12</c:v>
                </c:pt>
                <c:pt idx="49">
                  <c:v>2/1/23 10:13</c:v>
                </c:pt>
                <c:pt idx="50">
                  <c:v>2/1/23 10:13</c:v>
                </c:pt>
                <c:pt idx="51">
                  <c:v>2/1/23 10:13</c:v>
                </c:pt>
                <c:pt idx="52">
                  <c:v>2/1/23 10:13</c:v>
                </c:pt>
                <c:pt idx="53">
                  <c:v>2/1/23 10:14</c:v>
                </c:pt>
                <c:pt idx="54">
                  <c:v>2/1/23 10:14</c:v>
                </c:pt>
                <c:pt idx="55">
                  <c:v>2/1/23 10:14</c:v>
                </c:pt>
                <c:pt idx="56">
                  <c:v>2/1/23 10:14</c:v>
                </c:pt>
                <c:pt idx="57">
                  <c:v>2/1/23 10:14</c:v>
                </c:pt>
                <c:pt idx="58">
                  <c:v>2/1/23 10:15</c:v>
                </c:pt>
                <c:pt idx="59">
                  <c:v>2/1/23 10:15</c:v>
                </c:pt>
                <c:pt idx="60">
                  <c:v>2/1/23 10:15</c:v>
                </c:pt>
                <c:pt idx="61">
                  <c:v>2/1/23 10:15</c:v>
                </c:pt>
                <c:pt idx="62">
                  <c:v>2/1/23 10:15</c:v>
                </c:pt>
                <c:pt idx="63">
                  <c:v>2/1/23 10:15</c:v>
                </c:pt>
                <c:pt idx="64">
                  <c:v>2/1/23 11:08</c:v>
                </c:pt>
                <c:pt idx="65">
                  <c:v>2/1/23 11:08</c:v>
                </c:pt>
                <c:pt idx="66">
                  <c:v>2/1/23 13:02</c:v>
                </c:pt>
                <c:pt idx="67">
                  <c:v>2/1/23 13:07</c:v>
                </c:pt>
                <c:pt idx="68">
                  <c:v>2/1/23 13:07</c:v>
                </c:pt>
                <c:pt idx="69">
                  <c:v>2/1/23 13:07</c:v>
                </c:pt>
                <c:pt idx="70">
                  <c:v>2/1/23 13:07</c:v>
                </c:pt>
                <c:pt idx="71">
                  <c:v>2/1/23 13:07</c:v>
                </c:pt>
                <c:pt idx="72">
                  <c:v>2/1/23 13:13</c:v>
                </c:pt>
                <c:pt idx="73">
                  <c:v>2/1/23 13:13</c:v>
                </c:pt>
                <c:pt idx="74">
                  <c:v>2/1/23 13:13</c:v>
                </c:pt>
                <c:pt idx="75">
                  <c:v>2/1/23 13:14</c:v>
                </c:pt>
                <c:pt idx="76">
                  <c:v>2/1/23 13:14</c:v>
                </c:pt>
                <c:pt idx="77">
                  <c:v>2/1/23 13:14</c:v>
                </c:pt>
                <c:pt idx="78">
                  <c:v>2/1/23 13:14</c:v>
                </c:pt>
                <c:pt idx="79">
                  <c:v>2/1/23 13:14</c:v>
                </c:pt>
                <c:pt idx="80">
                  <c:v>2/1/23 13:24</c:v>
                </c:pt>
                <c:pt idx="81">
                  <c:v>2/1/23 13:25</c:v>
                </c:pt>
                <c:pt idx="82">
                  <c:v>2/1/23 13:26</c:v>
                </c:pt>
                <c:pt idx="83">
                  <c:v>2/1/23 13:26</c:v>
                </c:pt>
                <c:pt idx="84">
                  <c:v>2/1/23 13:31</c:v>
                </c:pt>
                <c:pt idx="85">
                  <c:v>2/1/23 13:31</c:v>
                </c:pt>
                <c:pt idx="86">
                  <c:v>2/1/23 13:31</c:v>
                </c:pt>
                <c:pt idx="87">
                  <c:v>2/1/23 13:32</c:v>
                </c:pt>
                <c:pt idx="88">
                  <c:v>2/1/23 13:33</c:v>
                </c:pt>
                <c:pt idx="89">
                  <c:v>2/1/23 13:57</c:v>
                </c:pt>
                <c:pt idx="90">
                  <c:v>3/1/23 11:44</c:v>
                </c:pt>
                <c:pt idx="91">
                  <c:v>3/1/23 11:44</c:v>
                </c:pt>
                <c:pt idx="92">
                  <c:v>3/1/23 11:56</c:v>
                </c:pt>
                <c:pt idx="93">
                  <c:v>3/1/23 11:56</c:v>
                </c:pt>
                <c:pt idx="94">
                  <c:v>3/1/23 11:57</c:v>
                </c:pt>
                <c:pt idx="95">
                  <c:v>4/1/23 10:11</c:v>
                </c:pt>
                <c:pt idx="96">
                  <c:v>4/1/23 10:11</c:v>
                </c:pt>
                <c:pt idx="97">
                  <c:v>4/1/23 10:12</c:v>
                </c:pt>
                <c:pt idx="98">
                  <c:v>4/1/23 10:14</c:v>
                </c:pt>
                <c:pt idx="99">
                  <c:v>4/1/23 10:16</c:v>
                </c:pt>
                <c:pt idx="100">
                  <c:v>4/1/23 10:23</c:v>
                </c:pt>
                <c:pt idx="101">
                  <c:v>4/1/23 10:24</c:v>
                </c:pt>
                <c:pt idx="102">
                  <c:v>4/1/23 10:34</c:v>
                </c:pt>
                <c:pt idx="103">
                  <c:v>4/1/23 10:34</c:v>
                </c:pt>
                <c:pt idx="104">
                  <c:v>4/1/23 10:39</c:v>
                </c:pt>
                <c:pt idx="105">
                  <c:v>4/1/23 10:41</c:v>
                </c:pt>
                <c:pt idx="106">
                  <c:v>4/1/23 10:44</c:v>
                </c:pt>
                <c:pt idx="107">
                  <c:v>4/1/23 10:45</c:v>
                </c:pt>
                <c:pt idx="108">
                  <c:v>4/1/23 10:45</c:v>
                </c:pt>
                <c:pt idx="109">
                  <c:v>4/1/23 10:45</c:v>
                </c:pt>
                <c:pt idx="110">
                  <c:v>4/1/23 10:45</c:v>
                </c:pt>
                <c:pt idx="111">
                  <c:v>4/1/23 10:45</c:v>
                </c:pt>
                <c:pt idx="112">
                  <c:v>4/1/23 10:46</c:v>
                </c:pt>
                <c:pt idx="113">
                  <c:v>4/1/23 10:46</c:v>
                </c:pt>
                <c:pt idx="114">
                  <c:v>4/1/23 10:46</c:v>
                </c:pt>
                <c:pt idx="115">
                  <c:v>4/1/23 10:55</c:v>
                </c:pt>
                <c:pt idx="116">
                  <c:v>4/1/23 11:48</c:v>
                </c:pt>
                <c:pt idx="117">
                  <c:v>4/1/23 11:48</c:v>
                </c:pt>
                <c:pt idx="118">
                  <c:v>7/1/23 11:08</c:v>
                </c:pt>
                <c:pt idx="119">
                  <c:v>7/1/23 11:08</c:v>
                </c:pt>
                <c:pt idx="120">
                  <c:v>7/1/23 11:22</c:v>
                </c:pt>
                <c:pt idx="121">
                  <c:v>7/1/23 11:23</c:v>
                </c:pt>
                <c:pt idx="122">
                  <c:v>7/1/23 11:23</c:v>
                </c:pt>
                <c:pt idx="123">
                  <c:v>7/1/23 11:23</c:v>
                </c:pt>
                <c:pt idx="124">
                  <c:v>7/1/23 11:23</c:v>
                </c:pt>
                <c:pt idx="125">
                  <c:v>7/1/23 11:24</c:v>
                </c:pt>
                <c:pt idx="126">
                  <c:v>7/1/23 11:24</c:v>
                </c:pt>
                <c:pt idx="127">
                  <c:v>7/1/23 11:24</c:v>
                </c:pt>
                <c:pt idx="128">
                  <c:v>7/1/23 11:24</c:v>
                </c:pt>
                <c:pt idx="129">
                  <c:v>7/1/23 11:47</c:v>
                </c:pt>
                <c:pt idx="130">
                  <c:v>7/1/23 11:47</c:v>
                </c:pt>
                <c:pt idx="131">
                  <c:v>7/1/23 12:40</c:v>
                </c:pt>
                <c:pt idx="132">
                  <c:v>7/1/23 12:44</c:v>
                </c:pt>
                <c:pt idx="133">
                  <c:v>7/1/23 12:44</c:v>
                </c:pt>
                <c:pt idx="134">
                  <c:v>7/1/23 12:45</c:v>
                </c:pt>
                <c:pt idx="135">
                  <c:v>7/1/23 12:45</c:v>
                </c:pt>
                <c:pt idx="136">
                  <c:v>7/1/23 12:45</c:v>
                </c:pt>
                <c:pt idx="137">
                  <c:v>7/1/23 12:52</c:v>
                </c:pt>
                <c:pt idx="138">
                  <c:v>7/1/23 12:52</c:v>
                </c:pt>
                <c:pt idx="139">
                  <c:v>7/1/23 12:52</c:v>
                </c:pt>
                <c:pt idx="140">
                  <c:v>7/1/23 12:53</c:v>
                </c:pt>
                <c:pt idx="141">
                  <c:v>7/1/23 12:54</c:v>
                </c:pt>
                <c:pt idx="142">
                  <c:v>7/1/23 13:02</c:v>
                </c:pt>
                <c:pt idx="143">
                  <c:v>7/1/23 13:03</c:v>
                </c:pt>
                <c:pt idx="144">
                  <c:v>7/1/23 13:03</c:v>
                </c:pt>
                <c:pt idx="145">
                  <c:v>7/1/23 13:05</c:v>
                </c:pt>
                <c:pt idx="146">
                  <c:v>7/1/23 13:05</c:v>
                </c:pt>
                <c:pt idx="147">
                  <c:v>7/1/23 13:05</c:v>
                </c:pt>
                <c:pt idx="148">
                  <c:v>7/1/23 13:05</c:v>
                </c:pt>
                <c:pt idx="149">
                  <c:v>7/1/23 13:06</c:v>
                </c:pt>
                <c:pt idx="150">
                  <c:v>7/1/23 13:06</c:v>
                </c:pt>
                <c:pt idx="151">
                  <c:v>7/1/23 13:06</c:v>
                </c:pt>
                <c:pt idx="152">
                  <c:v>7/1/23 13:06</c:v>
                </c:pt>
                <c:pt idx="153">
                  <c:v>7/1/23 13:06</c:v>
                </c:pt>
                <c:pt idx="154">
                  <c:v>7/1/23 13:06</c:v>
                </c:pt>
                <c:pt idx="155">
                  <c:v>7/1/23 13:07</c:v>
                </c:pt>
                <c:pt idx="156">
                  <c:v>9/1/23 10:11</c:v>
                </c:pt>
                <c:pt idx="157">
                  <c:v>9/1/23 10:11</c:v>
                </c:pt>
                <c:pt idx="158">
                  <c:v>9/1/23 10:12</c:v>
                </c:pt>
                <c:pt idx="159">
                  <c:v>9/1/23 10:14</c:v>
                </c:pt>
                <c:pt idx="160">
                  <c:v>9/1/23 10:14</c:v>
                </c:pt>
                <c:pt idx="161">
                  <c:v>9/1/23 12:53</c:v>
                </c:pt>
                <c:pt idx="162">
                  <c:v>9/1/23 12:54</c:v>
                </c:pt>
                <c:pt idx="163">
                  <c:v>9/1/23 13:00</c:v>
                </c:pt>
                <c:pt idx="164">
                  <c:v>9/1/23 13:01</c:v>
                </c:pt>
                <c:pt idx="165">
                  <c:v>15/1/23 12:31</c:v>
                </c:pt>
                <c:pt idx="166">
                  <c:v>15/1/23 12:31</c:v>
                </c:pt>
                <c:pt idx="167">
                  <c:v>15/1/23 12:32</c:v>
                </c:pt>
                <c:pt idx="168">
                  <c:v>15/1/23 12:32</c:v>
                </c:pt>
                <c:pt idx="169">
                  <c:v>15/1/23 12:44</c:v>
                </c:pt>
                <c:pt idx="170">
                  <c:v>17/1/23 9:52</c:v>
                </c:pt>
                <c:pt idx="171">
                  <c:v>22/1/23 11:01</c:v>
                </c:pt>
                <c:pt idx="172">
                  <c:v>22/1/23 11:20</c:v>
                </c:pt>
                <c:pt idx="173">
                  <c:v>22/1/23 11:20</c:v>
                </c:pt>
                <c:pt idx="174">
                  <c:v>22/1/23 11:20</c:v>
                </c:pt>
                <c:pt idx="175">
                  <c:v>22/1/23 11:21</c:v>
                </c:pt>
                <c:pt idx="176">
                  <c:v>22/1/23 11:21</c:v>
                </c:pt>
                <c:pt idx="177">
                  <c:v>22/1/23 11:21</c:v>
                </c:pt>
                <c:pt idx="178">
                  <c:v>22/1/23 11:21</c:v>
                </c:pt>
                <c:pt idx="179">
                  <c:v>22/1/23 11:21</c:v>
                </c:pt>
                <c:pt idx="180">
                  <c:v>22/1/23 11:22</c:v>
                </c:pt>
                <c:pt idx="181">
                  <c:v>22/1/23 11:22</c:v>
                </c:pt>
                <c:pt idx="182">
                  <c:v>22/1/23 11:22</c:v>
                </c:pt>
                <c:pt idx="183">
                  <c:v>22/1/23 11:24</c:v>
                </c:pt>
                <c:pt idx="184">
                  <c:v>22/1/23 11:25</c:v>
                </c:pt>
                <c:pt idx="185">
                  <c:v>22/1/23 11:25</c:v>
                </c:pt>
                <c:pt idx="186">
                  <c:v>22/1/23 11:25</c:v>
                </c:pt>
                <c:pt idx="187">
                  <c:v>22/1/23 11:26</c:v>
                </c:pt>
                <c:pt idx="188">
                  <c:v>22/1/23 11:26</c:v>
                </c:pt>
                <c:pt idx="189">
                  <c:v>22/1/23 11:26</c:v>
                </c:pt>
                <c:pt idx="190">
                  <c:v>22/1/23 11:26</c:v>
                </c:pt>
                <c:pt idx="191">
                  <c:v>22/1/23 11:26</c:v>
                </c:pt>
                <c:pt idx="192">
                  <c:v>22/1/23 11:26</c:v>
                </c:pt>
                <c:pt idx="193">
                  <c:v>22/1/23 11:27</c:v>
                </c:pt>
                <c:pt idx="194">
                  <c:v>22/1/23 11:27</c:v>
                </c:pt>
                <c:pt idx="195">
                  <c:v>22/1/23 11:27</c:v>
                </c:pt>
                <c:pt idx="196">
                  <c:v>22/1/23 11:27</c:v>
                </c:pt>
                <c:pt idx="197">
                  <c:v>22/1/23 11:28</c:v>
                </c:pt>
                <c:pt idx="198">
                  <c:v>22/1/23 11:28</c:v>
                </c:pt>
                <c:pt idx="199">
                  <c:v>22/1/23 11:28</c:v>
                </c:pt>
                <c:pt idx="200">
                  <c:v>22/1/23 11:38</c:v>
                </c:pt>
                <c:pt idx="201">
                  <c:v>22/1/23 11:39</c:v>
                </c:pt>
                <c:pt idx="202">
                  <c:v>22/1/23 11:39</c:v>
                </c:pt>
                <c:pt idx="203">
                  <c:v>22/1/23 11:39</c:v>
                </c:pt>
                <c:pt idx="204">
                  <c:v>22/1/23 11:39</c:v>
                </c:pt>
                <c:pt idx="205">
                  <c:v>22/1/23 11:40</c:v>
                </c:pt>
                <c:pt idx="206">
                  <c:v>22/1/23 11:41</c:v>
                </c:pt>
                <c:pt idx="207">
                  <c:v>24/1/23 11:52</c:v>
                </c:pt>
                <c:pt idx="208">
                  <c:v>24/1/23 11:52</c:v>
                </c:pt>
                <c:pt idx="209">
                  <c:v>24/1/23 11:53</c:v>
                </c:pt>
                <c:pt idx="210">
                  <c:v>24/1/23 11:53</c:v>
                </c:pt>
                <c:pt idx="211">
                  <c:v>24/1/23 11:53</c:v>
                </c:pt>
                <c:pt idx="212">
                  <c:v>24/1/23 11:53</c:v>
                </c:pt>
                <c:pt idx="213">
                  <c:v>24/1/23 11:54</c:v>
                </c:pt>
                <c:pt idx="214">
                  <c:v>24/1/23 11:54</c:v>
                </c:pt>
                <c:pt idx="215">
                  <c:v>24/1/23 11:54</c:v>
                </c:pt>
                <c:pt idx="216">
                  <c:v>24/1/23 11:55</c:v>
                </c:pt>
                <c:pt idx="217">
                  <c:v>24/1/23 11:56</c:v>
                </c:pt>
                <c:pt idx="218">
                  <c:v>24/1/23 11:56</c:v>
                </c:pt>
                <c:pt idx="219">
                  <c:v>24/1/23 12:13</c:v>
                </c:pt>
                <c:pt idx="220">
                  <c:v>24/1/23 12:13</c:v>
                </c:pt>
                <c:pt idx="221">
                  <c:v>24/1/23 12:13</c:v>
                </c:pt>
                <c:pt idx="222">
                  <c:v>24/1/23 12:13</c:v>
                </c:pt>
                <c:pt idx="223">
                  <c:v>24/1/23 12:17</c:v>
                </c:pt>
                <c:pt idx="224">
                  <c:v>24/1/23 12:17</c:v>
                </c:pt>
                <c:pt idx="225">
                  <c:v>24/1/23 12:17</c:v>
                </c:pt>
                <c:pt idx="226">
                  <c:v>24/1/23 12:34</c:v>
                </c:pt>
                <c:pt idx="227">
                  <c:v>24/1/23 12:35</c:v>
                </c:pt>
                <c:pt idx="228">
                  <c:v>24/1/23 12:35</c:v>
                </c:pt>
                <c:pt idx="229">
                  <c:v>24/1/23 12:35</c:v>
                </c:pt>
                <c:pt idx="230">
                  <c:v>24/1/23 12:35</c:v>
                </c:pt>
                <c:pt idx="231">
                  <c:v>24/1/23 13:18</c:v>
                </c:pt>
                <c:pt idx="232">
                  <c:v>24/1/23 13:26</c:v>
                </c:pt>
                <c:pt idx="233">
                  <c:v>24/1/23 13:26</c:v>
                </c:pt>
                <c:pt idx="234">
                  <c:v>24/1/23 13:27</c:v>
                </c:pt>
                <c:pt idx="235">
                  <c:v>24/1/23 13:27</c:v>
                </c:pt>
                <c:pt idx="236">
                  <c:v>24/1/23 13:27</c:v>
                </c:pt>
                <c:pt idx="237">
                  <c:v>24/1/23 13:27</c:v>
                </c:pt>
                <c:pt idx="238">
                  <c:v>24/1/23 13:27</c:v>
                </c:pt>
                <c:pt idx="239">
                  <c:v>24/1/23 13:27</c:v>
                </c:pt>
                <c:pt idx="240">
                  <c:v>24/1/23 13:28</c:v>
                </c:pt>
                <c:pt idx="241">
                  <c:v>24/1/23 13:28</c:v>
                </c:pt>
                <c:pt idx="242">
                  <c:v>24/1/23 13:30</c:v>
                </c:pt>
                <c:pt idx="243">
                  <c:v>25/1/23 10:57</c:v>
                </c:pt>
                <c:pt idx="244">
                  <c:v>25/1/23 11:21</c:v>
                </c:pt>
                <c:pt idx="245">
                  <c:v>25/1/23 11:25</c:v>
                </c:pt>
                <c:pt idx="246">
                  <c:v>25/1/23 11:25</c:v>
                </c:pt>
                <c:pt idx="247">
                  <c:v>26/1/23 10:49</c:v>
                </c:pt>
                <c:pt idx="248">
                  <c:v>26/1/23 10:50</c:v>
                </c:pt>
                <c:pt idx="249">
                  <c:v>26/1/23 10:50</c:v>
                </c:pt>
                <c:pt idx="250">
                  <c:v>26/1/23 10:50</c:v>
                </c:pt>
                <c:pt idx="251">
                  <c:v>26/1/23 10:50</c:v>
                </c:pt>
                <c:pt idx="252">
                  <c:v>26/1/23 10:50</c:v>
                </c:pt>
                <c:pt idx="253">
                  <c:v>26/1/23 10:51</c:v>
                </c:pt>
                <c:pt idx="254">
                  <c:v>26/1/23 10:51</c:v>
                </c:pt>
                <c:pt idx="255">
                  <c:v>26/1/23 10:51</c:v>
                </c:pt>
                <c:pt idx="256">
                  <c:v>26/1/23 10:51</c:v>
                </c:pt>
                <c:pt idx="257">
                  <c:v>26/1/23 10:52</c:v>
                </c:pt>
                <c:pt idx="258">
                  <c:v>26/1/23 10:52</c:v>
                </c:pt>
                <c:pt idx="259">
                  <c:v>26/1/23 10:53</c:v>
                </c:pt>
                <c:pt idx="260">
                  <c:v>26/1/23 10:54</c:v>
                </c:pt>
                <c:pt idx="261">
                  <c:v>26/1/23 10:57</c:v>
                </c:pt>
                <c:pt idx="262">
                  <c:v>26/1/23 11:58</c:v>
                </c:pt>
                <c:pt idx="263">
                  <c:v>26/1/23 11:59</c:v>
                </c:pt>
                <c:pt idx="264">
                  <c:v>26/1/23 11:59</c:v>
                </c:pt>
                <c:pt idx="265">
                  <c:v>26/1/23 12:00</c:v>
                </c:pt>
                <c:pt idx="266">
                  <c:v>26/1/23 12:00</c:v>
                </c:pt>
                <c:pt idx="267">
                  <c:v>26/1/23 12:00</c:v>
                </c:pt>
                <c:pt idx="268">
                  <c:v>26/1/23 12:00</c:v>
                </c:pt>
                <c:pt idx="269">
                  <c:v>26/1/23 12:00</c:v>
                </c:pt>
                <c:pt idx="270">
                  <c:v>26/1/23 12:00</c:v>
                </c:pt>
                <c:pt idx="271">
                  <c:v>26/1/23 12:01</c:v>
                </c:pt>
                <c:pt idx="272">
                  <c:v>26/1/23 12:01</c:v>
                </c:pt>
                <c:pt idx="273">
                  <c:v>26/1/23 12:09</c:v>
                </c:pt>
                <c:pt idx="274">
                  <c:v>26/1/23 12:09</c:v>
                </c:pt>
                <c:pt idx="275">
                  <c:v>26/1/23 12:12</c:v>
                </c:pt>
                <c:pt idx="276">
                  <c:v>26/1/23 12:13</c:v>
                </c:pt>
                <c:pt idx="277">
                  <c:v>26/1/23 12:13</c:v>
                </c:pt>
                <c:pt idx="278">
                  <c:v>26/1/23 12:13</c:v>
                </c:pt>
                <c:pt idx="279">
                  <c:v>26/1/23 12:13</c:v>
                </c:pt>
                <c:pt idx="280">
                  <c:v>26/1/23 12:14</c:v>
                </c:pt>
                <c:pt idx="281">
                  <c:v>26/1/23 13:54</c:v>
                </c:pt>
                <c:pt idx="282">
                  <c:v>26/1/23 13:55</c:v>
                </c:pt>
                <c:pt idx="283">
                  <c:v>26/1/23 13:55</c:v>
                </c:pt>
                <c:pt idx="284">
                  <c:v>26/1/23 13:55</c:v>
                </c:pt>
                <c:pt idx="285">
                  <c:v>26/1/23 13:55</c:v>
                </c:pt>
                <c:pt idx="286">
                  <c:v>26/1/23 13:55</c:v>
                </c:pt>
                <c:pt idx="287">
                  <c:v>26/1/23 13:56</c:v>
                </c:pt>
                <c:pt idx="288">
                  <c:v>26/1/23 13:56</c:v>
                </c:pt>
                <c:pt idx="289">
                  <c:v>26/1/23 13:56</c:v>
                </c:pt>
                <c:pt idx="290">
                  <c:v>26/1/23 13:56</c:v>
                </c:pt>
                <c:pt idx="291">
                  <c:v>26/1/23 13:56</c:v>
                </c:pt>
                <c:pt idx="292">
                  <c:v>26/1/23 13:56</c:v>
                </c:pt>
                <c:pt idx="293">
                  <c:v>26/1/23 13:57</c:v>
                </c:pt>
                <c:pt idx="294">
                  <c:v>26/1/23 13:57</c:v>
                </c:pt>
                <c:pt idx="295">
                  <c:v>26/1/23 13:57</c:v>
                </c:pt>
                <c:pt idx="296">
                  <c:v>26/1/23 13:57</c:v>
                </c:pt>
                <c:pt idx="297">
                  <c:v>27/1/23 10:22</c:v>
                </c:pt>
                <c:pt idx="298">
                  <c:v>27/1/23 10:49</c:v>
                </c:pt>
                <c:pt idx="299">
                  <c:v>27/1/23 10:50</c:v>
                </c:pt>
                <c:pt idx="300">
                  <c:v>27/1/23 11:30</c:v>
                </c:pt>
                <c:pt idx="301">
                  <c:v>27/1/23 11:30</c:v>
                </c:pt>
                <c:pt idx="302">
                  <c:v>27/1/23 11:31</c:v>
                </c:pt>
                <c:pt idx="303">
                  <c:v>27/1/23 11:31</c:v>
                </c:pt>
                <c:pt idx="304">
                  <c:v>27/1/23 11:31</c:v>
                </c:pt>
                <c:pt idx="305">
                  <c:v>27/1/23 11:31</c:v>
                </c:pt>
                <c:pt idx="306">
                  <c:v>27/1/23 11:32</c:v>
                </c:pt>
                <c:pt idx="307">
                  <c:v>27/1/23 11:32</c:v>
                </c:pt>
                <c:pt idx="308">
                  <c:v>27/1/23 11:33</c:v>
                </c:pt>
                <c:pt idx="309">
                  <c:v>27/1/23 11:33</c:v>
                </c:pt>
                <c:pt idx="310">
                  <c:v>27/1/23 11:33</c:v>
                </c:pt>
                <c:pt idx="311">
                  <c:v>27/1/23 11:37</c:v>
                </c:pt>
                <c:pt idx="312">
                  <c:v>27/1/23 11:38</c:v>
                </c:pt>
                <c:pt idx="313">
                  <c:v>27/1/23 11:38</c:v>
                </c:pt>
                <c:pt idx="314">
                  <c:v>27/1/23 11:38</c:v>
                </c:pt>
                <c:pt idx="315">
                  <c:v>27/1/23 11:50</c:v>
                </c:pt>
                <c:pt idx="316">
                  <c:v>27/1/23 11:50</c:v>
                </c:pt>
                <c:pt idx="317">
                  <c:v>27/1/23 11:51</c:v>
                </c:pt>
                <c:pt idx="318">
                  <c:v>27/1/23 11:51</c:v>
                </c:pt>
                <c:pt idx="319">
                  <c:v>27/1/23 11:51</c:v>
                </c:pt>
                <c:pt idx="320">
                  <c:v>27/1/23 11:51</c:v>
                </c:pt>
                <c:pt idx="321">
                  <c:v>27/1/23 11:52</c:v>
                </c:pt>
                <c:pt idx="322">
                  <c:v>27/1/23 11:54</c:v>
                </c:pt>
                <c:pt idx="323">
                  <c:v>27/1/23 11:54</c:v>
                </c:pt>
                <c:pt idx="324">
                  <c:v>27/1/23 12:45</c:v>
                </c:pt>
                <c:pt idx="325">
                  <c:v>27/1/23 12:45</c:v>
                </c:pt>
                <c:pt idx="326">
                  <c:v>27/1/23 12:46</c:v>
                </c:pt>
                <c:pt idx="327">
                  <c:v>27/1/23 12:46</c:v>
                </c:pt>
                <c:pt idx="328">
                  <c:v>27/1/23 12:46</c:v>
                </c:pt>
                <c:pt idx="329">
                  <c:v>27/1/23 12:47</c:v>
                </c:pt>
                <c:pt idx="330">
                  <c:v>27/1/23 12:47</c:v>
                </c:pt>
                <c:pt idx="331">
                  <c:v>27/1/23 12:48</c:v>
                </c:pt>
                <c:pt idx="332">
                  <c:v>27/1/23 12:48</c:v>
                </c:pt>
                <c:pt idx="333">
                  <c:v>27/1/23 12:48</c:v>
                </c:pt>
                <c:pt idx="334">
                  <c:v>27/1/23 12:48</c:v>
                </c:pt>
                <c:pt idx="335">
                  <c:v>27/1/23 12:51</c:v>
                </c:pt>
                <c:pt idx="336">
                  <c:v>27/1/23 12:51</c:v>
                </c:pt>
                <c:pt idx="337">
                  <c:v>27/1/23 12:51</c:v>
                </c:pt>
                <c:pt idx="338">
                  <c:v>27/1/23 12:51</c:v>
                </c:pt>
                <c:pt idx="339">
                  <c:v>27/1/23 12:51</c:v>
                </c:pt>
                <c:pt idx="340">
                  <c:v>27/1/23 12:51</c:v>
                </c:pt>
                <c:pt idx="341">
                  <c:v>27/1/23 12:52</c:v>
                </c:pt>
                <c:pt idx="342">
                  <c:v>27/1/23 12:52</c:v>
                </c:pt>
                <c:pt idx="343">
                  <c:v>27/1/23 12:52</c:v>
                </c:pt>
                <c:pt idx="344">
                  <c:v>27/1/23 12:55</c:v>
                </c:pt>
                <c:pt idx="345">
                  <c:v>27/1/23 13:02</c:v>
                </c:pt>
                <c:pt idx="346">
                  <c:v>27/1/23 13:03</c:v>
                </c:pt>
                <c:pt idx="347">
                  <c:v>27/1/23 13:03</c:v>
                </c:pt>
                <c:pt idx="348">
                  <c:v>27/1/23 14:09</c:v>
                </c:pt>
                <c:pt idx="349">
                  <c:v>27/1/23 14:09</c:v>
                </c:pt>
                <c:pt idx="350">
                  <c:v>27/1/23 14:09</c:v>
                </c:pt>
                <c:pt idx="351">
                  <c:v>27/1/23 14:10</c:v>
                </c:pt>
                <c:pt idx="352">
                  <c:v>27/1/23 14:10</c:v>
                </c:pt>
                <c:pt idx="353">
                  <c:v>27/1/23 14:10</c:v>
                </c:pt>
                <c:pt idx="354">
                  <c:v>27/1/23 14:10</c:v>
                </c:pt>
                <c:pt idx="355">
                  <c:v>27/1/23 14:10</c:v>
                </c:pt>
                <c:pt idx="356">
                  <c:v>28/1/23 11:02</c:v>
                </c:pt>
                <c:pt idx="357">
                  <c:v>28/1/23 11:03</c:v>
                </c:pt>
                <c:pt idx="358">
                  <c:v>28/1/23 11:17</c:v>
                </c:pt>
                <c:pt idx="359">
                  <c:v>28/1/23 11:17</c:v>
                </c:pt>
                <c:pt idx="360">
                  <c:v>28/1/23 11:17</c:v>
                </c:pt>
                <c:pt idx="361">
                  <c:v>28/1/23 11:17</c:v>
                </c:pt>
                <c:pt idx="362">
                  <c:v>28/1/23 11:18</c:v>
                </c:pt>
                <c:pt idx="363">
                  <c:v>28/1/23 11:18</c:v>
                </c:pt>
                <c:pt idx="364">
                  <c:v>28/1/23 11:18</c:v>
                </c:pt>
                <c:pt idx="365">
                  <c:v>28/1/23 11:36</c:v>
                </c:pt>
                <c:pt idx="366">
                  <c:v>28/1/23 11:36</c:v>
                </c:pt>
                <c:pt idx="367">
                  <c:v>28/1/23 11:37</c:v>
                </c:pt>
                <c:pt idx="368">
                  <c:v>28/1/23 11:38</c:v>
                </c:pt>
                <c:pt idx="369">
                  <c:v>28/1/23 11:38</c:v>
                </c:pt>
                <c:pt idx="370">
                  <c:v>28/1/23 11:38</c:v>
                </c:pt>
                <c:pt idx="371">
                  <c:v>28/1/23 11:38</c:v>
                </c:pt>
                <c:pt idx="372">
                  <c:v>28/1/23 11:39</c:v>
                </c:pt>
                <c:pt idx="373">
                  <c:v>30/1/23 11:04</c:v>
                </c:pt>
                <c:pt idx="374">
                  <c:v>30/1/23 11:08</c:v>
                </c:pt>
                <c:pt idx="375">
                  <c:v>30/1/23 11:08</c:v>
                </c:pt>
                <c:pt idx="376">
                  <c:v>30/1/23 11:08</c:v>
                </c:pt>
                <c:pt idx="377">
                  <c:v>30/1/23 11:08</c:v>
                </c:pt>
                <c:pt idx="378">
                  <c:v>30/1/23 11:09</c:v>
                </c:pt>
                <c:pt idx="379">
                  <c:v>30/1/23 11:09</c:v>
                </c:pt>
                <c:pt idx="380">
                  <c:v>30/1/23 11:09</c:v>
                </c:pt>
                <c:pt idx="381">
                  <c:v>30/1/23 11:09</c:v>
                </c:pt>
                <c:pt idx="382">
                  <c:v>30/1/23 11:09</c:v>
                </c:pt>
                <c:pt idx="383">
                  <c:v>30/1/23 11:41</c:v>
                </c:pt>
                <c:pt idx="384">
                  <c:v>30/1/23 11:42</c:v>
                </c:pt>
                <c:pt idx="385">
                  <c:v>30/1/23 11:42</c:v>
                </c:pt>
                <c:pt idx="386">
                  <c:v>30/1/23 11:42</c:v>
                </c:pt>
                <c:pt idx="387">
                  <c:v>30/1/23 11:43</c:v>
                </c:pt>
                <c:pt idx="388">
                  <c:v>30/1/23 11:43</c:v>
                </c:pt>
                <c:pt idx="389">
                  <c:v>30/1/23 11:43</c:v>
                </c:pt>
                <c:pt idx="390">
                  <c:v>30/1/23 11:43</c:v>
                </c:pt>
                <c:pt idx="391">
                  <c:v>30/1/23 11:43</c:v>
                </c:pt>
                <c:pt idx="392">
                  <c:v>30/1/23 11:44</c:v>
                </c:pt>
                <c:pt idx="393">
                  <c:v>30/1/23 11:44</c:v>
                </c:pt>
                <c:pt idx="394">
                  <c:v>30/1/23 11:44</c:v>
                </c:pt>
                <c:pt idx="395">
                  <c:v>30/1/23 11:44</c:v>
                </c:pt>
                <c:pt idx="396">
                  <c:v>30/1/23 11:44</c:v>
                </c:pt>
                <c:pt idx="397">
                  <c:v>30/1/23 11:45</c:v>
                </c:pt>
                <c:pt idx="398">
                  <c:v>30/1/23 11:45</c:v>
                </c:pt>
                <c:pt idx="399">
                  <c:v>30/1/23 11:45</c:v>
                </c:pt>
                <c:pt idx="400">
                  <c:v>30/1/23 11:56</c:v>
                </c:pt>
                <c:pt idx="401">
                  <c:v>30/1/23 11:57</c:v>
                </c:pt>
                <c:pt idx="402">
                  <c:v>30/1/23 11:58</c:v>
                </c:pt>
                <c:pt idx="403">
                  <c:v>30/1/23 11:58</c:v>
                </c:pt>
                <c:pt idx="404">
                  <c:v>30/1/23 12:11</c:v>
                </c:pt>
                <c:pt idx="405">
                  <c:v>30/1/23 12:11</c:v>
                </c:pt>
                <c:pt idx="406">
                  <c:v>30/1/23 12:11</c:v>
                </c:pt>
                <c:pt idx="407">
                  <c:v>30/1/23 12:11</c:v>
                </c:pt>
                <c:pt idx="408">
                  <c:v>30/1/23 12:11</c:v>
                </c:pt>
                <c:pt idx="409">
                  <c:v>30/1/23 12:16</c:v>
                </c:pt>
                <c:pt idx="410">
                  <c:v>30/1/23 12:16</c:v>
                </c:pt>
                <c:pt idx="411">
                  <c:v>31/1/23 10:46</c:v>
                </c:pt>
                <c:pt idx="412">
                  <c:v>31/1/23 11:01</c:v>
                </c:pt>
                <c:pt idx="413">
                  <c:v>31/1/23 11:32</c:v>
                </c:pt>
                <c:pt idx="414">
                  <c:v>31/1/23 11:32</c:v>
                </c:pt>
                <c:pt idx="415">
                  <c:v>31/1/23 11:32</c:v>
                </c:pt>
                <c:pt idx="416">
                  <c:v>31/1/23 11:32</c:v>
                </c:pt>
                <c:pt idx="417">
                  <c:v>31/1/23 11:33</c:v>
                </c:pt>
                <c:pt idx="418">
                  <c:v>31/1/23 11:33</c:v>
                </c:pt>
                <c:pt idx="419">
                  <c:v>31/1/23 11:33</c:v>
                </c:pt>
                <c:pt idx="420">
                  <c:v>31/1/23 11:33</c:v>
                </c:pt>
                <c:pt idx="421">
                  <c:v>31/1/23 11:33</c:v>
                </c:pt>
                <c:pt idx="422">
                  <c:v>31/1/23 11:33</c:v>
                </c:pt>
                <c:pt idx="423">
                  <c:v>31/1/23 11:34</c:v>
                </c:pt>
                <c:pt idx="424">
                  <c:v>31/1/23 11:34</c:v>
                </c:pt>
                <c:pt idx="425">
                  <c:v>31/1/23 11:34</c:v>
                </c:pt>
                <c:pt idx="426">
                  <c:v>31/1/23 11:34</c:v>
                </c:pt>
                <c:pt idx="427">
                  <c:v>31/1/23 11:34</c:v>
                </c:pt>
                <c:pt idx="428">
                  <c:v>31/1/23 11:34</c:v>
                </c:pt>
                <c:pt idx="429">
                  <c:v>31/1/23 11:35</c:v>
                </c:pt>
                <c:pt idx="430">
                  <c:v>31/1/23 11:35</c:v>
                </c:pt>
                <c:pt idx="431">
                  <c:v>31/1/23 11:35</c:v>
                </c:pt>
                <c:pt idx="432">
                  <c:v>31/1/23 11:35</c:v>
                </c:pt>
                <c:pt idx="433">
                  <c:v>31/1/23 11:35</c:v>
                </c:pt>
                <c:pt idx="434">
                  <c:v>31/1/23 11:35</c:v>
                </c:pt>
                <c:pt idx="435">
                  <c:v>31/1/23 11:36</c:v>
                </c:pt>
                <c:pt idx="436">
                  <c:v>31/1/23 11:36</c:v>
                </c:pt>
                <c:pt idx="437">
                  <c:v>31/1/23 11:36</c:v>
                </c:pt>
                <c:pt idx="438">
                  <c:v>31/1/23 11:36</c:v>
                </c:pt>
                <c:pt idx="439">
                  <c:v>31/1/23 11:36</c:v>
                </c:pt>
                <c:pt idx="440">
                  <c:v>31/1/23 11:36</c:v>
                </c:pt>
                <c:pt idx="441">
                  <c:v>31/1/23 11:37</c:v>
                </c:pt>
                <c:pt idx="442">
                  <c:v>31/1/23 11:37</c:v>
                </c:pt>
                <c:pt idx="443">
                  <c:v>31/1/23 11:37</c:v>
                </c:pt>
                <c:pt idx="444">
                  <c:v>31/1/23 11:37</c:v>
                </c:pt>
                <c:pt idx="445">
                  <c:v>31/1/23 11:37</c:v>
                </c:pt>
                <c:pt idx="446">
                  <c:v>31/1/23 11:37</c:v>
                </c:pt>
                <c:pt idx="447">
                  <c:v>31/1/23 11:38</c:v>
                </c:pt>
                <c:pt idx="448">
                  <c:v>31/1/23 11:38</c:v>
                </c:pt>
                <c:pt idx="449">
                  <c:v>31/1/23 11:38</c:v>
                </c:pt>
                <c:pt idx="450">
                  <c:v>31/1/23 11:38</c:v>
                </c:pt>
                <c:pt idx="451">
                  <c:v>31/1/23 11:38</c:v>
                </c:pt>
                <c:pt idx="452">
                  <c:v>1/2/23 12:09</c:v>
                </c:pt>
                <c:pt idx="453">
                  <c:v>1/2/23 12:10</c:v>
                </c:pt>
                <c:pt idx="454">
                  <c:v>1/2/23 12:10</c:v>
                </c:pt>
                <c:pt idx="455">
                  <c:v>1/2/23 12:10</c:v>
                </c:pt>
                <c:pt idx="456">
                  <c:v>1/2/23 12:10</c:v>
                </c:pt>
                <c:pt idx="457">
                  <c:v>1/2/23 12:10</c:v>
                </c:pt>
                <c:pt idx="458">
                  <c:v>1/2/23 13:10</c:v>
                </c:pt>
                <c:pt idx="459">
                  <c:v>1/2/23 13:11</c:v>
                </c:pt>
                <c:pt idx="460">
                  <c:v>1/2/23 13:11</c:v>
                </c:pt>
                <c:pt idx="461">
                  <c:v>1/2/23 13:15</c:v>
                </c:pt>
                <c:pt idx="462">
                  <c:v>1/2/23 13:16</c:v>
                </c:pt>
                <c:pt idx="463">
                  <c:v>1/2/23 13:16</c:v>
                </c:pt>
                <c:pt idx="464">
                  <c:v>2/2/23 10:43</c:v>
                </c:pt>
                <c:pt idx="465">
                  <c:v>2/2/23 10:44</c:v>
                </c:pt>
                <c:pt idx="466">
                  <c:v>2/2/23 10:44</c:v>
                </c:pt>
                <c:pt idx="467">
                  <c:v>2/2/23 10:44</c:v>
                </c:pt>
                <c:pt idx="468">
                  <c:v>2/2/23 10:59</c:v>
                </c:pt>
                <c:pt idx="469">
                  <c:v>2/2/23 11:25</c:v>
                </c:pt>
                <c:pt idx="470">
                  <c:v>2/2/23 11:25</c:v>
                </c:pt>
                <c:pt idx="471">
                  <c:v>2/2/23 11:50</c:v>
                </c:pt>
                <c:pt idx="472">
                  <c:v>2/2/23 11:51</c:v>
                </c:pt>
                <c:pt idx="473">
                  <c:v>2/2/23 11:52</c:v>
                </c:pt>
                <c:pt idx="474">
                  <c:v>2/2/23 12:00</c:v>
                </c:pt>
                <c:pt idx="475">
                  <c:v>2/2/23 12:01</c:v>
                </c:pt>
                <c:pt idx="476">
                  <c:v>2/2/23 12:10</c:v>
                </c:pt>
                <c:pt idx="477">
                  <c:v>2/2/23 12:10</c:v>
                </c:pt>
                <c:pt idx="478">
                  <c:v>2/2/23 12:10</c:v>
                </c:pt>
                <c:pt idx="479">
                  <c:v>2/2/23 12:10</c:v>
                </c:pt>
                <c:pt idx="480">
                  <c:v>2/2/23 12:11</c:v>
                </c:pt>
                <c:pt idx="481">
                  <c:v>2/2/23 12:11</c:v>
                </c:pt>
                <c:pt idx="482">
                  <c:v>2/2/23 12:11</c:v>
                </c:pt>
                <c:pt idx="483">
                  <c:v>2/2/23 12:25</c:v>
                </c:pt>
                <c:pt idx="484">
                  <c:v>2/2/23 12:25</c:v>
                </c:pt>
                <c:pt idx="485">
                  <c:v>2/2/23 12:25</c:v>
                </c:pt>
                <c:pt idx="486">
                  <c:v>2/2/23 12:26</c:v>
                </c:pt>
                <c:pt idx="487">
                  <c:v>2/2/23 12:26</c:v>
                </c:pt>
                <c:pt idx="488">
                  <c:v>3/2/23 10:44</c:v>
                </c:pt>
                <c:pt idx="489">
                  <c:v>4/2/23 12:03</c:v>
                </c:pt>
                <c:pt idx="490">
                  <c:v>5/2/23 10:01</c:v>
                </c:pt>
                <c:pt idx="491">
                  <c:v>5/2/23 10:03</c:v>
                </c:pt>
                <c:pt idx="492">
                  <c:v>5/2/23 12:22</c:v>
                </c:pt>
                <c:pt idx="493">
                  <c:v>5/2/23 12:23</c:v>
                </c:pt>
                <c:pt idx="494">
                  <c:v>5/2/23 12:23</c:v>
                </c:pt>
                <c:pt idx="495">
                  <c:v>5/2/23 12:23</c:v>
                </c:pt>
                <c:pt idx="496">
                  <c:v>5/2/23 12:23</c:v>
                </c:pt>
                <c:pt idx="497">
                  <c:v>7/2/23 12:55</c:v>
                </c:pt>
                <c:pt idx="498">
                  <c:v>7/2/23 12:55</c:v>
                </c:pt>
                <c:pt idx="499">
                  <c:v>7/2/23 12:56</c:v>
                </c:pt>
                <c:pt idx="500">
                  <c:v>7/2/23 12:56</c:v>
                </c:pt>
                <c:pt idx="501">
                  <c:v>7/2/23 12:56</c:v>
                </c:pt>
                <c:pt idx="502">
                  <c:v>7/2/23 12:56</c:v>
                </c:pt>
                <c:pt idx="503">
                  <c:v>7/2/23 12:57</c:v>
                </c:pt>
                <c:pt idx="504">
                  <c:v>8/2/23 12:51</c:v>
                </c:pt>
                <c:pt idx="505">
                  <c:v>8/2/23 12:51</c:v>
                </c:pt>
                <c:pt idx="506">
                  <c:v>10/2/23 11:43</c:v>
                </c:pt>
                <c:pt idx="507">
                  <c:v>10/2/23 11:43</c:v>
                </c:pt>
                <c:pt idx="508">
                  <c:v>10/2/23 11:43</c:v>
                </c:pt>
                <c:pt idx="509">
                  <c:v>10/2/23 11:43</c:v>
                </c:pt>
                <c:pt idx="510">
                  <c:v>10/2/23 11:44</c:v>
                </c:pt>
                <c:pt idx="511">
                  <c:v>10/2/23 12:39</c:v>
                </c:pt>
                <c:pt idx="512">
                  <c:v>10/2/23 12:39</c:v>
                </c:pt>
                <c:pt idx="513">
                  <c:v>10/2/23 12:39</c:v>
                </c:pt>
                <c:pt idx="514">
                  <c:v>10/2/23 12:39</c:v>
                </c:pt>
                <c:pt idx="515">
                  <c:v>10/2/23 12:39</c:v>
                </c:pt>
                <c:pt idx="516">
                  <c:v>10/2/23 12:40</c:v>
                </c:pt>
                <c:pt idx="517">
                  <c:v>15/2/23 11:14</c:v>
                </c:pt>
                <c:pt idx="518">
                  <c:v>15/2/23 11:14</c:v>
                </c:pt>
                <c:pt idx="519">
                  <c:v>15/2/23 11:58</c:v>
                </c:pt>
                <c:pt idx="520">
                  <c:v>15/2/23 11:58</c:v>
                </c:pt>
                <c:pt idx="521">
                  <c:v>19/2/23 12:51</c:v>
                </c:pt>
                <c:pt idx="522">
                  <c:v>19/2/23 12:51</c:v>
                </c:pt>
                <c:pt idx="523">
                  <c:v>19/2/23 12:52</c:v>
                </c:pt>
                <c:pt idx="524">
                  <c:v>19/2/23 12:52</c:v>
                </c:pt>
                <c:pt idx="525">
                  <c:v>19/2/23 12:52</c:v>
                </c:pt>
                <c:pt idx="526">
                  <c:v>19/2/23 12:52</c:v>
                </c:pt>
                <c:pt idx="527">
                  <c:v>20/2/23 11:21</c:v>
                </c:pt>
                <c:pt idx="528">
                  <c:v>20/2/23 12:10</c:v>
                </c:pt>
                <c:pt idx="529">
                  <c:v>20/2/23 12:10</c:v>
                </c:pt>
                <c:pt idx="530">
                  <c:v>20/2/23 12:10</c:v>
                </c:pt>
                <c:pt idx="531">
                  <c:v>20/2/23 12:19</c:v>
                </c:pt>
                <c:pt idx="532">
                  <c:v>20/2/23 12:19</c:v>
                </c:pt>
                <c:pt idx="533">
                  <c:v>20/2/23 12:37</c:v>
                </c:pt>
                <c:pt idx="534">
                  <c:v>20/2/23 12:37</c:v>
                </c:pt>
                <c:pt idx="535">
                  <c:v>20/2/23 12:37</c:v>
                </c:pt>
                <c:pt idx="536">
                  <c:v>20/2/23 12:37</c:v>
                </c:pt>
                <c:pt idx="537">
                  <c:v>20/2/23 12:37</c:v>
                </c:pt>
                <c:pt idx="538">
                  <c:v>20/2/23 12:38</c:v>
                </c:pt>
                <c:pt idx="539">
                  <c:v>20/2/23 12:39</c:v>
                </c:pt>
                <c:pt idx="540">
                  <c:v>20/2/23 12:39</c:v>
                </c:pt>
                <c:pt idx="541">
                  <c:v>20/2/23 12:39</c:v>
                </c:pt>
                <c:pt idx="542">
                  <c:v>20/2/23 12:56</c:v>
                </c:pt>
                <c:pt idx="543">
                  <c:v>20/2/23 12:57</c:v>
                </c:pt>
                <c:pt idx="544">
                  <c:v>21/2/23 11:39</c:v>
                </c:pt>
                <c:pt idx="545">
                  <c:v>24/2/23 11:21</c:v>
                </c:pt>
                <c:pt idx="546">
                  <c:v>24/2/23 11:22</c:v>
                </c:pt>
                <c:pt idx="547">
                  <c:v>24/2/23 11:22</c:v>
                </c:pt>
                <c:pt idx="548">
                  <c:v>24/2/23 11:22</c:v>
                </c:pt>
                <c:pt idx="549">
                  <c:v>24/2/23 12:03</c:v>
                </c:pt>
                <c:pt idx="550">
                  <c:v>24/2/23 12:03</c:v>
                </c:pt>
                <c:pt idx="551">
                  <c:v>24/2/23 12:56</c:v>
                </c:pt>
                <c:pt idx="552">
                  <c:v>24/2/23 12:56</c:v>
                </c:pt>
                <c:pt idx="553">
                  <c:v>24/2/23 12:56</c:v>
                </c:pt>
                <c:pt idx="554">
                  <c:v>24/2/23 12:56</c:v>
                </c:pt>
                <c:pt idx="555">
                  <c:v>24/2/23 12:56</c:v>
                </c:pt>
                <c:pt idx="556">
                  <c:v>24/2/23 12:57</c:v>
                </c:pt>
                <c:pt idx="557">
                  <c:v>24/2/23 12:57</c:v>
                </c:pt>
                <c:pt idx="558">
                  <c:v>24/2/23 12:57</c:v>
                </c:pt>
                <c:pt idx="559">
                  <c:v>24/2/23 12:58</c:v>
                </c:pt>
                <c:pt idx="560">
                  <c:v>24/2/23 13:30</c:v>
                </c:pt>
                <c:pt idx="561">
                  <c:v>24/2/23 13:30</c:v>
                </c:pt>
                <c:pt idx="562">
                  <c:v>26/2/23 12:31</c:v>
                </c:pt>
                <c:pt idx="563">
                  <c:v>26/2/23 12:31</c:v>
                </c:pt>
                <c:pt idx="564">
                  <c:v>26/2/23 12:31</c:v>
                </c:pt>
                <c:pt idx="565">
                  <c:v>26/2/23 12:31</c:v>
                </c:pt>
                <c:pt idx="566">
                  <c:v>26/2/23 12:31</c:v>
                </c:pt>
                <c:pt idx="567">
                  <c:v>26/2/23 12:31</c:v>
                </c:pt>
                <c:pt idx="568">
                  <c:v>26/2/23 12:32</c:v>
                </c:pt>
                <c:pt idx="569">
                  <c:v>26/2/23 12:32</c:v>
                </c:pt>
                <c:pt idx="570">
                  <c:v>28/2/23 11:28</c:v>
                </c:pt>
                <c:pt idx="571">
                  <c:v>7/3/23 12:20</c:v>
                </c:pt>
                <c:pt idx="572">
                  <c:v>8/3/23 11:25</c:v>
                </c:pt>
                <c:pt idx="573">
                  <c:v>8/3/23 11:25</c:v>
                </c:pt>
                <c:pt idx="574">
                  <c:v>8/3/23 11:26</c:v>
                </c:pt>
                <c:pt idx="575">
                  <c:v>8/3/23 12:29</c:v>
                </c:pt>
                <c:pt idx="576">
                  <c:v>8/3/23 12:29</c:v>
                </c:pt>
                <c:pt idx="577">
                  <c:v>8/3/23 12:35</c:v>
                </c:pt>
                <c:pt idx="578">
                  <c:v>8/3/23 12:35</c:v>
                </c:pt>
                <c:pt idx="579">
                  <c:v>8/3/23 12:35</c:v>
                </c:pt>
                <c:pt idx="580">
                  <c:v>8/3/23 12:36</c:v>
                </c:pt>
                <c:pt idx="581">
                  <c:v>8/3/23 12:36</c:v>
                </c:pt>
                <c:pt idx="582">
                  <c:v>8/3/23 12:36</c:v>
                </c:pt>
                <c:pt idx="583">
                  <c:v>8/3/23 12:36</c:v>
                </c:pt>
                <c:pt idx="584">
                  <c:v>8/3/23 12:37</c:v>
                </c:pt>
                <c:pt idx="585">
                  <c:v>8/3/23 12:37</c:v>
                </c:pt>
                <c:pt idx="586">
                  <c:v>8/3/23 12:37</c:v>
                </c:pt>
                <c:pt idx="587">
                  <c:v>8/3/23 12:37</c:v>
                </c:pt>
                <c:pt idx="588">
                  <c:v>9/3/23 13:37</c:v>
                </c:pt>
                <c:pt idx="589">
                  <c:v>9/3/23 13:38</c:v>
                </c:pt>
                <c:pt idx="590">
                  <c:v>9/3/23 13:38</c:v>
                </c:pt>
                <c:pt idx="591">
                  <c:v>9/3/23 13:38</c:v>
                </c:pt>
                <c:pt idx="592">
                  <c:v>10/3/23 10:13</c:v>
                </c:pt>
                <c:pt idx="593">
                  <c:v>10/3/23 10:39</c:v>
                </c:pt>
                <c:pt idx="594">
                  <c:v>10/3/23 11:13</c:v>
                </c:pt>
                <c:pt idx="595">
                  <c:v>10/3/23 11:13</c:v>
                </c:pt>
                <c:pt idx="596">
                  <c:v>10/3/23 11:15</c:v>
                </c:pt>
                <c:pt idx="597">
                  <c:v>10/3/23 11:18</c:v>
                </c:pt>
                <c:pt idx="598">
                  <c:v>10/3/23 11:19</c:v>
                </c:pt>
                <c:pt idx="599">
                  <c:v>10/3/23 12:19</c:v>
                </c:pt>
                <c:pt idx="600">
                  <c:v>10/3/23 12:45</c:v>
                </c:pt>
                <c:pt idx="601">
                  <c:v>10/3/23 12:45</c:v>
                </c:pt>
                <c:pt idx="602">
                  <c:v>11/3/23 10:13</c:v>
                </c:pt>
                <c:pt idx="603">
                  <c:v>11/3/23 10:13</c:v>
                </c:pt>
                <c:pt idx="604">
                  <c:v>11/3/23 12:54</c:v>
                </c:pt>
                <c:pt idx="605">
                  <c:v>14/3/23 12:15</c:v>
                </c:pt>
                <c:pt idx="606">
                  <c:v>14/3/23 12:16</c:v>
                </c:pt>
                <c:pt idx="607">
                  <c:v>14/3/23 12:16</c:v>
                </c:pt>
                <c:pt idx="608">
                  <c:v>14/3/23 12:16</c:v>
                </c:pt>
                <c:pt idx="609">
                  <c:v>18/3/23 11:15</c:v>
                </c:pt>
                <c:pt idx="610">
                  <c:v>18/3/23 11:16</c:v>
                </c:pt>
                <c:pt idx="611">
                  <c:v>18/3/23 11:16</c:v>
                </c:pt>
                <c:pt idx="612">
                  <c:v>18/3/23 11:16</c:v>
                </c:pt>
                <c:pt idx="613">
                  <c:v>18/3/23 11:24</c:v>
                </c:pt>
                <c:pt idx="614">
                  <c:v>18/3/23 11:28</c:v>
                </c:pt>
                <c:pt idx="615">
                  <c:v>18/3/23 11:29</c:v>
                </c:pt>
                <c:pt idx="616">
                  <c:v>18/3/23 11:49</c:v>
                </c:pt>
                <c:pt idx="617">
                  <c:v>18/3/23 11:50</c:v>
                </c:pt>
                <c:pt idx="618">
                  <c:v>18/3/23 11:51</c:v>
                </c:pt>
                <c:pt idx="619">
                  <c:v>18/3/23 11:57</c:v>
                </c:pt>
                <c:pt idx="620">
                  <c:v>18/3/23 11:58</c:v>
                </c:pt>
                <c:pt idx="621">
                  <c:v>18/3/23 11:58</c:v>
                </c:pt>
                <c:pt idx="622">
                  <c:v>18/3/23 11:59</c:v>
                </c:pt>
                <c:pt idx="623">
                  <c:v>18/3/23 11:59</c:v>
                </c:pt>
                <c:pt idx="624">
                  <c:v>18/3/23 11:59</c:v>
                </c:pt>
                <c:pt idx="625">
                  <c:v>18/3/23 12:00</c:v>
                </c:pt>
                <c:pt idx="626">
                  <c:v>18/3/23 12:01</c:v>
                </c:pt>
                <c:pt idx="627">
                  <c:v>18/3/23 12:11</c:v>
                </c:pt>
                <c:pt idx="628">
                  <c:v>18/3/23 12:19</c:v>
                </c:pt>
                <c:pt idx="629">
                  <c:v>18/3/23 13:12</c:v>
                </c:pt>
                <c:pt idx="630">
                  <c:v>9/4/23 13:04</c:v>
                </c:pt>
                <c:pt idx="631">
                  <c:v>14/4/23 12:23</c:v>
                </c:pt>
                <c:pt idx="632">
                  <c:v>14/4/23 12:25</c:v>
                </c:pt>
                <c:pt idx="633">
                  <c:v>14/4/23 12:25</c:v>
                </c:pt>
                <c:pt idx="634">
                  <c:v>14/4/23 12:25</c:v>
                </c:pt>
                <c:pt idx="635">
                  <c:v>21/4/23 10:55</c:v>
                </c:pt>
                <c:pt idx="636">
                  <c:v>21/4/23 12:09</c:v>
                </c:pt>
                <c:pt idx="637">
                  <c:v>21/4/23 12:09</c:v>
                </c:pt>
                <c:pt idx="638">
                  <c:v>7/5/23 11:23</c:v>
                </c:pt>
                <c:pt idx="639">
                  <c:v>8/5/23 11:42</c:v>
                </c:pt>
                <c:pt idx="640">
                  <c:v>8/5/23 11:39</c:v>
                </c:pt>
                <c:pt idx="641">
                  <c:v>8/5/23 11:40</c:v>
                </c:pt>
                <c:pt idx="642">
                  <c:v>18/6/23 11:43</c:v>
                </c:pt>
                <c:pt idx="643">
                  <c:v>27/6/23 11:02</c:v>
                </c:pt>
                <c:pt idx="644">
                  <c:v>14/7/23 11:22</c:v>
                </c:pt>
                <c:pt idx="645">
                  <c:v>17/7/23 11:59</c:v>
                </c:pt>
                <c:pt idx="646">
                  <c:v>17/7/23 11:59</c:v>
                </c:pt>
                <c:pt idx="647">
                  <c:v>17/7/23 11:59</c:v>
                </c:pt>
                <c:pt idx="648">
                  <c:v>17/7/23 12:00</c:v>
                </c:pt>
                <c:pt idx="649">
                  <c:v>20/7/23 13:16</c:v>
                </c:pt>
                <c:pt idx="650">
                  <c:v>20/7/23 13:16</c:v>
                </c:pt>
                <c:pt idx="651">
                  <c:v>20/7/23 13:16</c:v>
                </c:pt>
                <c:pt idx="652">
                  <c:v>20/7/23 13:17</c:v>
                </c:pt>
                <c:pt idx="653">
                  <c:v>27/8/23 12:29</c:v>
                </c:pt>
                <c:pt idx="654">
                  <c:v>27/8/23 12:36</c:v>
                </c:pt>
                <c:pt idx="655">
                  <c:v>30/8/23 11:36</c:v>
                </c:pt>
                <c:pt idx="656">
                  <c:v>30/8/23 11:36</c:v>
                </c:pt>
                <c:pt idx="657">
                  <c:v>30/8/23 12:40</c:v>
                </c:pt>
                <c:pt idx="658">
                  <c:v>6/9/23 11:51</c:v>
                </c:pt>
                <c:pt idx="659">
                  <c:v>11/9/23 11:52</c:v>
                </c:pt>
                <c:pt idx="660">
                  <c:v>11/9/23 11:52</c:v>
                </c:pt>
                <c:pt idx="661">
                  <c:v>29/9/23 11:05</c:v>
                </c:pt>
                <c:pt idx="662">
                  <c:v>29/9/23 11:05</c:v>
                </c:pt>
                <c:pt idx="663">
                  <c:v>29/9/23 11:05</c:v>
                </c:pt>
                <c:pt idx="664">
                  <c:v>29/9/23 11:05</c:v>
                </c:pt>
                <c:pt idx="665">
                  <c:v>29/9/23 11:54</c:v>
                </c:pt>
                <c:pt idx="666">
                  <c:v>29/9/23 11:54</c:v>
                </c:pt>
                <c:pt idx="667">
                  <c:v>29/9/23 12:23</c:v>
                </c:pt>
                <c:pt idx="668">
                  <c:v>2/10/23 11:43</c:v>
                </c:pt>
                <c:pt idx="669">
                  <c:v>14/10/23 10:54</c:v>
                </c:pt>
                <c:pt idx="670">
                  <c:v>15/10/23 11:29</c:v>
                </c:pt>
                <c:pt idx="671">
                  <c:v>15/10/23 11:29</c:v>
                </c:pt>
                <c:pt idx="672">
                  <c:v>15/10/23 11:33</c:v>
                </c:pt>
                <c:pt idx="673">
                  <c:v>15/10/23 11:33</c:v>
                </c:pt>
                <c:pt idx="674">
                  <c:v>15/10/23 12:06</c:v>
                </c:pt>
                <c:pt idx="675">
                  <c:v>15/10/23 12:06</c:v>
                </c:pt>
                <c:pt idx="676">
                  <c:v>15/10/23 12:07</c:v>
                </c:pt>
                <c:pt idx="677">
                  <c:v>22/10/23 9:34</c:v>
                </c:pt>
                <c:pt idx="678">
                  <c:v>22/10/23 9:46</c:v>
                </c:pt>
                <c:pt idx="679">
                  <c:v>22/10/23 10:02</c:v>
                </c:pt>
                <c:pt idx="680">
                  <c:v>22/10/23 10:20</c:v>
                </c:pt>
                <c:pt idx="681">
                  <c:v>22/10/23 10:31</c:v>
                </c:pt>
                <c:pt idx="682">
                  <c:v>22/10/23 10:31</c:v>
                </c:pt>
                <c:pt idx="683">
                  <c:v>22/10/23 10:35</c:v>
                </c:pt>
                <c:pt idx="684">
                  <c:v>25/10/23 10:10</c:v>
                </c:pt>
                <c:pt idx="685">
                  <c:v>30/10/23 10:59</c:v>
                </c:pt>
                <c:pt idx="686">
                  <c:v>30/10/23 10:59</c:v>
                </c:pt>
                <c:pt idx="687">
                  <c:v>2/11/23 11:12</c:v>
                </c:pt>
                <c:pt idx="688">
                  <c:v>2/11/23 11:42</c:v>
                </c:pt>
                <c:pt idx="689">
                  <c:v>2/11/23 11:43</c:v>
                </c:pt>
                <c:pt idx="690">
                  <c:v>2/11/23 11:43</c:v>
                </c:pt>
                <c:pt idx="691">
                  <c:v>3/11/23 10:09</c:v>
                </c:pt>
                <c:pt idx="692">
                  <c:v>3/11/23 10:09</c:v>
                </c:pt>
                <c:pt idx="693">
                  <c:v>3/11/23 10:10</c:v>
                </c:pt>
                <c:pt idx="694">
                  <c:v>3/11/23 11:10</c:v>
                </c:pt>
                <c:pt idx="695">
                  <c:v>3/11/23 11:10</c:v>
                </c:pt>
                <c:pt idx="696">
                  <c:v>4/11/23 12:46</c:v>
                </c:pt>
                <c:pt idx="697">
                  <c:v>4/11/23 12:46</c:v>
                </c:pt>
                <c:pt idx="698">
                  <c:v>21/11/23 11:00</c:v>
                </c:pt>
                <c:pt idx="699">
                  <c:v>21/11/23 11:02</c:v>
                </c:pt>
                <c:pt idx="700">
                  <c:v>21/11/23 11:03</c:v>
                </c:pt>
                <c:pt idx="701">
                  <c:v>21/11/23 11:03</c:v>
                </c:pt>
                <c:pt idx="702">
                  <c:v>21/11/23 11:03</c:v>
                </c:pt>
                <c:pt idx="703">
                  <c:v>21/11/23 11:03</c:v>
                </c:pt>
                <c:pt idx="704">
                  <c:v>21/11/23 11:03</c:v>
                </c:pt>
                <c:pt idx="705">
                  <c:v>21/11/23 11:19</c:v>
                </c:pt>
                <c:pt idx="706">
                  <c:v>21/11/23 11:19</c:v>
                </c:pt>
                <c:pt idx="707">
                  <c:v>21/11/23 11:19</c:v>
                </c:pt>
                <c:pt idx="708">
                  <c:v>21/11/23 11:27</c:v>
                </c:pt>
                <c:pt idx="709">
                  <c:v>21/11/23 11:27</c:v>
                </c:pt>
                <c:pt idx="710">
                  <c:v>21/11/23 11:27</c:v>
                </c:pt>
                <c:pt idx="711">
                  <c:v>21/11/23 11:27</c:v>
                </c:pt>
                <c:pt idx="712">
                  <c:v>21/11/23 11:28</c:v>
                </c:pt>
                <c:pt idx="713">
                  <c:v>21/11/23 11:28</c:v>
                </c:pt>
                <c:pt idx="714">
                  <c:v>21/11/23 12:05</c:v>
                </c:pt>
                <c:pt idx="715">
                  <c:v>21/11/23 12:09</c:v>
                </c:pt>
                <c:pt idx="716">
                  <c:v>21/11/23 12:10</c:v>
                </c:pt>
                <c:pt idx="717">
                  <c:v>21/11/23 12:10</c:v>
                </c:pt>
                <c:pt idx="718">
                  <c:v>21/11/23 12:10</c:v>
                </c:pt>
                <c:pt idx="719">
                  <c:v>21/11/23 12:10</c:v>
                </c:pt>
                <c:pt idx="720">
                  <c:v>21/11/23 12:10</c:v>
                </c:pt>
                <c:pt idx="721">
                  <c:v>21/11/23 12:10</c:v>
                </c:pt>
                <c:pt idx="722">
                  <c:v>21/11/23 12:11</c:v>
                </c:pt>
                <c:pt idx="723">
                  <c:v>21/11/23 12:11</c:v>
                </c:pt>
                <c:pt idx="724">
                  <c:v>21/11/23 12:11</c:v>
                </c:pt>
                <c:pt idx="725">
                  <c:v>21/11/23 12:11</c:v>
                </c:pt>
                <c:pt idx="726">
                  <c:v>21/11/23 12:11</c:v>
                </c:pt>
                <c:pt idx="727">
                  <c:v>21/11/23 12:11</c:v>
                </c:pt>
                <c:pt idx="728">
                  <c:v>25/11/23 12:41</c:v>
                </c:pt>
                <c:pt idx="729">
                  <c:v>25/11/23 12:41</c:v>
                </c:pt>
                <c:pt idx="730">
                  <c:v>25/11/23 12:41</c:v>
                </c:pt>
                <c:pt idx="731">
                  <c:v>25/11/23 12:47</c:v>
                </c:pt>
                <c:pt idx="732">
                  <c:v>25/11/23 12:49</c:v>
                </c:pt>
                <c:pt idx="733">
                  <c:v>25/11/23 12:49</c:v>
                </c:pt>
                <c:pt idx="734">
                  <c:v>25/11/23 12:49</c:v>
                </c:pt>
                <c:pt idx="735">
                  <c:v>25/11/23 12:49</c:v>
                </c:pt>
                <c:pt idx="736">
                  <c:v>25/11/23 13:03</c:v>
                </c:pt>
                <c:pt idx="737">
                  <c:v>25/11/23 13:06</c:v>
                </c:pt>
                <c:pt idx="738">
                  <c:v>30/11/23 11:41</c:v>
                </c:pt>
                <c:pt idx="739">
                  <c:v>30/11/23 11:45</c:v>
                </c:pt>
                <c:pt idx="740">
                  <c:v>30/11/23 11:45</c:v>
                </c:pt>
                <c:pt idx="741">
                  <c:v>30/11/23 11:50</c:v>
                </c:pt>
                <c:pt idx="742">
                  <c:v>30/11/23 11:52</c:v>
                </c:pt>
                <c:pt idx="743">
                  <c:v>30/11/23 11:53</c:v>
                </c:pt>
                <c:pt idx="744">
                  <c:v>30/11/23 12:50</c:v>
                </c:pt>
                <c:pt idx="745">
                  <c:v>10/12/23 10:15</c:v>
                </c:pt>
                <c:pt idx="746">
                  <c:v>10/12/23 10:33</c:v>
                </c:pt>
                <c:pt idx="747">
                  <c:v>10/12/23 10:33</c:v>
                </c:pt>
                <c:pt idx="748">
                  <c:v>10/12/23 10:39</c:v>
                </c:pt>
                <c:pt idx="749">
                  <c:v>10/12/23 10:39</c:v>
                </c:pt>
                <c:pt idx="750">
                  <c:v>10/12/23 10:41</c:v>
                </c:pt>
                <c:pt idx="751">
                  <c:v>10/12/23 10:41</c:v>
                </c:pt>
                <c:pt idx="752">
                  <c:v>10/12/23 10:57</c:v>
                </c:pt>
                <c:pt idx="753">
                  <c:v>10/12/23 10:57</c:v>
                </c:pt>
                <c:pt idx="754">
                  <c:v>10/12/23 10:58</c:v>
                </c:pt>
                <c:pt idx="755">
                  <c:v>10/12/23 10:58</c:v>
                </c:pt>
                <c:pt idx="756">
                  <c:v>10/12/23 10:58</c:v>
                </c:pt>
                <c:pt idx="757">
                  <c:v>10/12/23 10:58</c:v>
                </c:pt>
                <c:pt idx="758">
                  <c:v>10/12/23 11:15</c:v>
                </c:pt>
                <c:pt idx="759">
                  <c:v>10/12/23 11:15</c:v>
                </c:pt>
                <c:pt idx="760">
                  <c:v>10/12/23 11:15</c:v>
                </c:pt>
                <c:pt idx="761">
                  <c:v>10/12/23 11:15</c:v>
                </c:pt>
                <c:pt idx="762">
                  <c:v>10/12/23 11:15</c:v>
                </c:pt>
                <c:pt idx="763">
                  <c:v>10/12/23 11:15</c:v>
                </c:pt>
                <c:pt idx="764">
                  <c:v>10/12/23 11:16</c:v>
                </c:pt>
                <c:pt idx="765">
                  <c:v>10/12/23 11:16</c:v>
                </c:pt>
                <c:pt idx="766">
                  <c:v>10/12/23 11:41</c:v>
                </c:pt>
                <c:pt idx="767">
                  <c:v>10/12/23 11:41</c:v>
                </c:pt>
                <c:pt idx="768">
                  <c:v>10/12/23 11:44</c:v>
                </c:pt>
                <c:pt idx="769">
                  <c:v>10/12/23 11:44</c:v>
                </c:pt>
                <c:pt idx="770">
                  <c:v>10/12/23 11:45</c:v>
                </c:pt>
                <c:pt idx="771">
                  <c:v>10/12/23 11:45</c:v>
                </c:pt>
                <c:pt idx="772">
                  <c:v>10/12/23 11:45</c:v>
                </c:pt>
                <c:pt idx="773">
                  <c:v>10/12/23 11:45</c:v>
                </c:pt>
                <c:pt idx="774">
                  <c:v>10/12/23 11:45</c:v>
                </c:pt>
                <c:pt idx="775">
                  <c:v>10/12/23 11:45</c:v>
                </c:pt>
                <c:pt idx="776">
                  <c:v>10/12/23 11:46</c:v>
                </c:pt>
                <c:pt idx="777">
                  <c:v>10/12/23 11:48</c:v>
                </c:pt>
                <c:pt idx="778">
                  <c:v>10/12/23 11:58</c:v>
                </c:pt>
                <c:pt idx="779">
                  <c:v>10/12/23 11:58</c:v>
                </c:pt>
                <c:pt idx="780">
                  <c:v>10/12/23 11:59</c:v>
                </c:pt>
                <c:pt idx="781">
                  <c:v>10/12/23 11:59</c:v>
                </c:pt>
                <c:pt idx="782">
                  <c:v>10/12/23 11:59</c:v>
                </c:pt>
                <c:pt idx="783">
                  <c:v>10/12/23 11:59</c:v>
                </c:pt>
                <c:pt idx="784">
                  <c:v>10/12/23 12:02</c:v>
                </c:pt>
                <c:pt idx="785">
                  <c:v>10/12/23 12:16</c:v>
                </c:pt>
                <c:pt idx="786">
                  <c:v>10/12/23 12:16</c:v>
                </c:pt>
                <c:pt idx="787">
                  <c:v>10/12/23 12:17</c:v>
                </c:pt>
                <c:pt idx="788">
                  <c:v>10/12/23 12:17</c:v>
                </c:pt>
                <c:pt idx="789">
                  <c:v>10/12/23 12:17</c:v>
                </c:pt>
                <c:pt idx="790">
                  <c:v>10/12/23 12:17</c:v>
                </c:pt>
                <c:pt idx="791">
                  <c:v>10/12/23 12:17</c:v>
                </c:pt>
                <c:pt idx="792">
                  <c:v>10/12/23 12:24</c:v>
                </c:pt>
                <c:pt idx="793">
                  <c:v>10/12/23 12:24</c:v>
                </c:pt>
                <c:pt idx="794">
                  <c:v>10/12/23 12:24</c:v>
                </c:pt>
                <c:pt idx="795">
                  <c:v>10/12/23 12:24</c:v>
                </c:pt>
                <c:pt idx="796">
                  <c:v>10/12/23 12:25</c:v>
                </c:pt>
                <c:pt idx="797">
                  <c:v>10/12/23 12:35</c:v>
                </c:pt>
                <c:pt idx="798">
                  <c:v>10/12/23 12:35</c:v>
                </c:pt>
                <c:pt idx="799">
                  <c:v>10/12/23 12:35</c:v>
                </c:pt>
                <c:pt idx="800">
                  <c:v>11/12/23 9:37</c:v>
                </c:pt>
                <c:pt idx="801">
                  <c:v>11/12/23 9:37</c:v>
                </c:pt>
                <c:pt idx="802">
                  <c:v>11/12/23 9:56</c:v>
                </c:pt>
                <c:pt idx="803">
                  <c:v>11/12/23 9:56</c:v>
                </c:pt>
                <c:pt idx="804">
                  <c:v>11/12/23 11:15</c:v>
                </c:pt>
                <c:pt idx="805">
                  <c:v>11/12/23 11:15</c:v>
                </c:pt>
                <c:pt idx="806">
                  <c:v>11/12/23 11:58</c:v>
                </c:pt>
                <c:pt idx="807">
                  <c:v>13/12/23 10:36</c:v>
                </c:pt>
                <c:pt idx="808">
                  <c:v>13/12/23 10:56</c:v>
                </c:pt>
                <c:pt idx="809">
                  <c:v>13/12/23 10:57</c:v>
                </c:pt>
                <c:pt idx="810">
                  <c:v>13/12/23 11:11</c:v>
                </c:pt>
                <c:pt idx="811">
                  <c:v>13/12/23 11:16</c:v>
                </c:pt>
                <c:pt idx="812">
                  <c:v>13/12/23 11:16</c:v>
                </c:pt>
                <c:pt idx="813">
                  <c:v>13/12/23 11:28</c:v>
                </c:pt>
                <c:pt idx="814">
                  <c:v>13/12/23 11:28</c:v>
                </c:pt>
                <c:pt idx="815">
                  <c:v>13/12/23 11:28</c:v>
                </c:pt>
                <c:pt idx="816">
                  <c:v>13/12/23 11:29</c:v>
                </c:pt>
                <c:pt idx="817">
                  <c:v>13/12/23 11:29</c:v>
                </c:pt>
                <c:pt idx="818">
                  <c:v>13/12/23 11:30</c:v>
                </c:pt>
                <c:pt idx="819">
                  <c:v>13/12/23 11:30</c:v>
                </c:pt>
                <c:pt idx="820">
                  <c:v>13/12/23 11:40</c:v>
                </c:pt>
                <c:pt idx="821">
                  <c:v>13/12/23 11:40</c:v>
                </c:pt>
                <c:pt idx="822">
                  <c:v>13/12/23 11:50</c:v>
                </c:pt>
                <c:pt idx="823">
                  <c:v>13/12/23 11:50</c:v>
                </c:pt>
                <c:pt idx="824">
                  <c:v>13/12/23 11:50</c:v>
                </c:pt>
                <c:pt idx="825">
                  <c:v>13/12/23 12:05</c:v>
                </c:pt>
                <c:pt idx="826">
                  <c:v>13/12/23 12:06</c:v>
                </c:pt>
                <c:pt idx="827">
                  <c:v>13/12/23 12:06</c:v>
                </c:pt>
                <c:pt idx="828">
                  <c:v>13/12/23 12:06</c:v>
                </c:pt>
                <c:pt idx="829">
                  <c:v>19/12/23 10:30</c:v>
                </c:pt>
                <c:pt idx="830">
                  <c:v>19/12/23 10:37</c:v>
                </c:pt>
                <c:pt idx="831">
                  <c:v>19/12/23 11:07</c:v>
                </c:pt>
                <c:pt idx="832">
                  <c:v>19/12/23 11:07</c:v>
                </c:pt>
                <c:pt idx="833">
                  <c:v>19/12/23 11:08</c:v>
                </c:pt>
                <c:pt idx="834">
                  <c:v>19/12/23 11:08</c:v>
                </c:pt>
                <c:pt idx="835">
                  <c:v>19/12/23 11:08</c:v>
                </c:pt>
                <c:pt idx="836">
                  <c:v>19/12/23 11:08</c:v>
                </c:pt>
                <c:pt idx="837">
                  <c:v>19/12/23 11:08</c:v>
                </c:pt>
                <c:pt idx="838">
                  <c:v>20/12/23 12:36</c:v>
                </c:pt>
                <c:pt idx="839">
                  <c:v>20/12/23 12:36</c:v>
                </c:pt>
                <c:pt idx="840">
                  <c:v>20/12/23 12:37</c:v>
                </c:pt>
                <c:pt idx="841">
                  <c:v>20/12/23 12:37</c:v>
                </c:pt>
                <c:pt idx="842">
                  <c:v>20/12/23 12:55</c:v>
                </c:pt>
                <c:pt idx="843">
                  <c:v>20/12/23 12:55</c:v>
                </c:pt>
                <c:pt idx="844">
                  <c:v>21/12/23 11:45</c:v>
                </c:pt>
                <c:pt idx="845">
                  <c:v>21/12/23 12:08</c:v>
                </c:pt>
                <c:pt idx="846">
                  <c:v>21/12/23 12:08</c:v>
                </c:pt>
                <c:pt idx="847">
                  <c:v>21/12/23 12:09</c:v>
                </c:pt>
                <c:pt idx="848">
                  <c:v>21/12/23 12:47</c:v>
                </c:pt>
                <c:pt idx="849">
                  <c:v>21/12/23 12:47</c:v>
                </c:pt>
                <c:pt idx="850">
                  <c:v>21/12/23 12:47</c:v>
                </c:pt>
                <c:pt idx="851">
                  <c:v>21/12/23 12:47</c:v>
                </c:pt>
                <c:pt idx="852">
                  <c:v>22/12/23 11:20</c:v>
                </c:pt>
                <c:pt idx="853">
                  <c:v>22/12/23 11:20</c:v>
                </c:pt>
                <c:pt idx="854">
                  <c:v>22/12/23 11:28</c:v>
                </c:pt>
                <c:pt idx="855">
                  <c:v>22/12/23 11:30</c:v>
                </c:pt>
                <c:pt idx="856">
                  <c:v>22/12/23 11:38</c:v>
                </c:pt>
                <c:pt idx="857">
                  <c:v>22/12/23 11:39</c:v>
                </c:pt>
                <c:pt idx="858">
                  <c:v>22/12/23 11:40</c:v>
                </c:pt>
                <c:pt idx="859">
                  <c:v>22/12/23 11:41</c:v>
                </c:pt>
                <c:pt idx="860">
                  <c:v>22/12/23 11:41</c:v>
                </c:pt>
                <c:pt idx="861">
                  <c:v>22/12/23 11:41</c:v>
                </c:pt>
                <c:pt idx="862">
                  <c:v>22/12/23 11:41</c:v>
                </c:pt>
                <c:pt idx="863">
                  <c:v>22/12/23 11:41</c:v>
                </c:pt>
                <c:pt idx="864">
                  <c:v>22/12/23 11:55</c:v>
                </c:pt>
                <c:pt idx="865">
                  <c:v>22/12/23 12:33</c:v>
                </c:pt>
                <c:pt idx="866">
                  <c:v>22/12/23 12:33</c:v>
                </c:pt>
                <c:pt idx="867">
                  <c:v>24/12/23 10:00</c:v>
                </c:pt>
                <c:pt idx="868">
                  <c:v>26/12/23 12:46</c:v>
                </c:pt>
                <c:pt idx="869">
                  <c:v>26/12/23 12:46</c:v>
                </c:pt>
                <c:pt idx="870">
                  <c:v>26/12/23 12:47</c:v>
                </c:pt>
                <c:pt idx="871">
                  <c:v>26/12/23 12:47</c:v>
                </c:pt>
                <c:pt idx="872">
                  <c:v>26/12/23 12:47</c:v>
                </c:pt>
                <c:pt idx="873">
                  <c:v>26/12/23 12:48</c:v>
                </c:pt>
                <c:pt idx="874">
                  <c:v>26/12/23 12:48</c:v>
                </c:pt>
                <c:pt idx="875">
                  <c:v>28/12/23 13:03</c:v>
                </c:pt>
                <c:pt idx="876">
                  <c:v>28/12/23 13:03</c:v>
                </c:pt>
                <c:pt idx="877">
                  <c:v>30/12/23 11:50</c:v>
                </c:pt>
              </c:strCache>
            </c:strRef>
          </c:cat>
          <c:val>
            <c:numRef>
              <c:f>'Pot. Pico'!$B$879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2F-486B-BDFC-D0B36B8934F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87193999"/>
        <c:axId val="1087183919"/>
      </c:lineChart>
      <c:catAx>
        <c:axId val="1087193999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7183919"/>
        <c:crosses val="autoZero"/>
        <c:auto val="1"/>
        <c:lblAlgn val="ctr"/>
        <c:lblOffset val="100"/>
        <c:noMultiLvlLbl val="0"/>
      </c:catAx>
      <c:valAx>
        <c:axId val="1087183919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8719399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[Monitoramento.xlsx]Gráfico MP!Tabela dinâmica90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Máxima</a:t>
            </a:r>
            <a:r>
              <a:rPr lang="pt-BR" baseline="0"/>
              <a:t> Potência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solidFill>
              <a:srgbClr val="FFFF0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'Gráfico MP'!$D$3:$D$4</c:f>
              <c:strCache>
                <c:ptCount val="1"/>
                <c:pt idx="0">
                  <c:v>105 kW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FFFF00"/>
              </a:solidFill>
            </a:ln>
            <a:effectLst/>
          </c:spPr>
          <c:invertIfNegative val="0"/>
          <c:cat>
            <c:strRef>
              <c:f>'Gráfico MP'!$A$5:$C$16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'Gráfico MP'!$D$5:$D$16</c:f>
              <c:numCache>
                <c:formatCode>General</c:formatCode>
                <c:ptCount val="12"/>
                <c:pt idx="5">
                  <c:v>2</c:v>
                </c:pt>
                <c:pt idx="6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75-4E32-A6E4-4AC1A2AE92D7}"/>
            </c:ext>
          </c:extLst>
        </c:ser>
        <c:ser>
          <c:idx val="1"/>
          <c:order val="1"/>
          <c:tx>
            <c:strRef>
              <c:f>'Gráfico MP'!$E$3:$E$4</c:f>
              <c:strCache>
                <c:ptCount val="1"/>
                <c:pt idx="0">
                  <c:v>125 kW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'Gráfico MP'!$A$5:$C$16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'Gráfico MP'!$E$5:$E$16</c:f>
              <c:numCache>
                <c:formatCode>General</c:formatCode>
                <c:ptCount val="12"/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75-4E32-A6E4-4AC1A2AE92D7}"/>
            </c:ext>
          </c:extLst>
        </c:ser>
        <c:ser>
          <c:idx val="2"/>
          <c:order val="2"/>
          <c:tx>
            <c:strRef>
              <c:f>'Gráfico MP'!$F$3:$F$4</c:f>
              <c:strCache>
                <c:ptCount val="1"/>
                <c:pt idx="0">
                  <c:v>130 kW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'Gráfico MP'!$A$5:$C$16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'Gráfico MP'!$F$5:$F$16</c:f>
              <c:numCache>
                <c:formatCode>General</c:formatCode>
                <c:ptCount val="12"/>
                <c:pt idx="4">
                  <c:v>2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75-4E32-A6E4-4AC1A2AE92D7}"/>
            </c:ext>
          </c:extLst>
        </c:ser>
        <c:ser>
          <c:idx val="3"/>
          <c:order val="3"/>
          <c:tx>
            <c:strRef>
              <c:f>'Gráfico MP'!$G$3:$G$4</c:f>
              <c:strCache>
                <c:ptCount val="1"/>
                <c:pt idx="0">
                  <c:v>135 kW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'Gráfico MP'!$A$5:$C$16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'Gráfico MP'!$G$5:$G$16</c:f>
              <c:numCache>
                <c:formatCode>General</c:formatCode>
                <c:ptCount val="12"/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75-4E32-A6E4-4AC1A2AE92D7}"/>
            </c:ext>
          </c:extLst>
        </c:ser>
        <c:ser>
          <c:idx val="4"/>
          <c:order val="4"/>
          <c:tx>
            <c:strRef>
              <c:f>'Gráfico MP'!$H$3:$H$4</c:f>
              <c:strCache>
                <c:ptCount val="1"/>
                <c:pt idx="0">
                  <c:v>150 kW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'Gráfico MP'!$A$5:$C$16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'Gráfico MP'!$H$5:$H$16</c:f>
              <c:numCache>
                <c:formatCode>General</c:formatCode>
                <c:ptCount val="12"/>
                <c:pt idx="0">
                  <c:v>451</c:v>
                </c:pt>
                <c:pt idx="1">
                  <c:v>119</c:v>
                </c:pt>
                <c:pt idx="2">
                  <c:v>59</c:v>
                </c:pt>
                <c:pt idx="3">
                  <c:v>8</c:v>
                </c:pt>
                <c:pt idx="8">
                  <c:v>10</c:v>
                </c:pt>
                <c:pt idx="9">
                  <c:v>19</c:v>
                </c:pt>
                <c:pt idx="10">
                  <c:v>58</c:v>
                </c:pt>
                <c:pt idx="11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C75-4E32-A6E4-4AC1A2AE92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107584"/>
        <c:axId val="184115744"/>
      </c:barChart>
      <c:catAx>
        <c:axId val="18410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4115744"/>
        <c:crosses val="autoZero"/>
        <c:auto val="1"/>
        <c:lblAlgn val="ctr"/>
        <c:lblOffset val="100"/>
        <c:noMultiLvlLbl val="0"/>
      </c:catAx>
      <c:valAx>
        <c:axId val="18411574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410758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CAD 3 2025'!A1"/><Relationship Id="rId2" Type="http://schemas.openxmlformats.org/officeDocument/2006/relationships/hyperlink" Target="#'CAD 3 2024'!A1"/><Relationship Id="rId1" Type="http://schemas.openxmlformats.org/officeDocument/2006/relationships/hyperlink" Target="#'CAD 3 2023'!A1"/><Relationship Id="rId4" Type="http://schemas.openxmlformats.org/officeDocument/2006/relationships/hyperlink" Target="#'CAD 1 2024-2025'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333375</xdr:colOff>
      <xdr:row>0</xdr:row>
      <xdr:rowOff>47625</xdr:rowOff>
    </xdr:from>
    <xdr:to>
      <xdr:col>15</xdr:col>
      <xdr:colOff>600075</xdr:colOff>
      <xdr:row>23</xdr:row>
      <xdr:rowOff>66675</xdr:rowOff>
    </xdr:to>
    <xdr:sp macro="" textlink="">
      <xdr:nvSpPr>
        <xdr:cNvPr id="16" name="Retângulo: Cantos Arredondados 15">
          <a:extLst>
            <a:ext uri="{FF2B5EF4-FFF2-40B4-BE49-F238E27FC236}">
              <a16:creationId xmlns:a16="http://schemas.microsoft.com/office/drawing/2014/main" id="{7746C03A-6E15-A790-1DD1-22F5374B331A}"/>
            </a:ext>
          </a:extLst>
        </xdr:cNvPr>
        <xdr:cNvSpPr/>
      </xdr:nvSpPr>
      <xdr:spPr>
        <a:xfrm>
          <a:off x="2771775" y="47625"/>
          <a:ext cx="6972300" cy="4400550"/>
        </a:xfrm>
        <a:prstGeom prst="roundRect">
          <a:avLst/>
        </a:prstGeom>
        <a:solidFill>
          <a:schemeClr val="bg1">
            <a:lumMod val="65000"/>
          </a:schemeClr>
        </a:solidFill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323850</xdr:colOff>
      <xdr:row>3</xdr:row>
      <xdr:rowOff>95250</xdr:rowOff>
    </xdr:from>
    <xdr:to>
      <xdr:col>15</xdr:col>
      <xdr:colOff>342900</xdr:colOff>
      <xdr:row>7</xdr:row>
      <xdr:rowOff>104775</xdr:rowOff>
    </xdr:to>
    <xdr:sp macro="" textlink="">
      <xdr:nvSpPr>
        <xdr:cNvPr id="2" name="Retângulo: Cantos Arredondado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CE7E6C-3F54-7AE1-CFE7-95AD98472F78}"/>
            </a:ext>
          </a:extLst>
        </xdr:cNvPr>
        <xdr:cNvSpPr/>
      </xdr:nvSpPr>
      <xdr:spPr>
        <a:xfrm>
          <a:off x="7639050" y="666750"/>
          <a:ext cx="1847850" cy="7715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  <a:p>
          <a:pPr algn="l"/>
          <a:r>
            <a:rPr lang="pt-BR" sz="1100"/>
            <a:t>    </a:t>
          </a:r>
          <a:r>
            <a:rPr lang="pt-BR" sz="1100" baseline="0"/>
            <a:t>    </a:t>
          </a:r>
          <a:r>
            <a:rPr lang="pt-BR" sz="1100"/>
            <a:t> </a:t>
          </a:r>
          <a:r>
            <a:rPr lang="pt-BR" sz="1800" b="1"/>
            <a:t>CAD 3</a:t>
          </a:r>
          <a:r>
            <a:rPr lang="pt-BR" sz="1800" b="1" baseline="0"/>
            <a:t> - 2023</a:t>
          </a:r>
          <a:endParaRPr lang="pt-BR" sz="1800" b="1"/>
        </a:p>
      </xdr:txBody>
    </xdr:sp>
    <xdr:clientData/>
  </xdr:twoCellAnchor>
  <xdr:twoCellAnchor>
    <xdr:from>
      <xdr:col>12</xdr:col>
      <xdr:colOff>323850</xdr:colOff>
      <xdr:row>8</xdr:row>
      <xdr:rowOff>85725</xdr:rowOff>
    </xdr:from>
    <xdr:to>
      <xdr:col>15</xdr:col>
      <xdr:colOff>342900</xdr:colOff>
      <xdr:row>12</xdr:row>
      <xdr:rowOff>95250</xdr:rowOff>
    </xdr:to>
    <xdr:sp macro="" textlink="">
      <xdr:nvSpPr>
        <xdr:cNvPr id="12" name="Retângulo: Cantos Arredondados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E9939EE-59F3-6B5D-59E7-CB0CA0593A34}"/>
            </a:ext>
          </a:extLst>
        </xdr:cNvPr>
        <xdr:cNvSpPr/>
      </xdr:nvSpPr>
      <xdr:spPr>
        <a:xfrm>
          <a:off x="7639050" y="1609725"/>
          <a:ext cx="1847850" cy="7715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  <a:p>
          <a:pPr algn="l"/>
          <a:r>
            <a:rPr lang="pt-BR" sz="1100"/>
            <a:t>    </a:t>
          </a:r>
          <a:r>
            <a:rPr lang="pt-BR" sz="1100" baseline="0"/>
            <a:t>    </a:t>
          </a:r>
          <a:r>
            <a:rPr lang="pt-BR" sz="1100"/>
            <a:t> </a:t>
          </a:r>
          <a:r>
            <a:rPr lang="pt-BR" sz="1800" b="1"/>
            <a:t>CAD 3</a:t>
          </a:r>
          <a:r>
            <a:rPr lang="pt-BR" sz="1800" b="1" baseline="0"/>
            <a:t> - 2024</a:t>
          </a:r>
          <a:endParaRPr lang="pt-BR" sz="1800" b="1"/>
        </a:p>
      </xdr:txBody>
    </xdr:sp>
    <xdr:clientData/>
  </xdr:twoCellAnchor>
  <xdr:twoCellAnchor>
    <xdr:from>
      <xdr:col>12</xdr:col>
      <xdr:colOff>342900</xdr:colOff>
      <xdr:row>13</xdr:row>
      <xdr:rowOff>95250</xdr:rowOff>
    </xdr:from>
    <xdr:to>
      <xdr:col>15</xdr:col>
      <xdr:colOff>361950</xdr:colOff>
      <xdr:row>17</xdr:row>
      <xdr:rowOff>104775</xdr:rowOff>
    </xdr:to>
    <xdr:sp macro="" textlink="">
      <xdr:nvSpPr>
        <xdr:cNvPr id="13" name="Retângulo: Cantos Arredondados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B62D5A85-83EE-D92D-9210-5FA93B6BE572}"/>
            </a:ext>
          </a:extLst>
        </xdr:cNvPr>
        <xdr:cNvSpPr/>
      </xdr:nvSpPr>
      <xdr:spPr>
        <a:xfrm>
          <a:off x="7658100" y="2571750"/>
          <a:ext cx="1847850" cy="7715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  <a:p>
          <a:pPr algn="l"/>
          <a:r>
            <a:rPr lang="pt-BR" sz="1100"/>
            <a:t>    </a:t>
          </a:r>
          <a:r>
            <a:rPr lang="pt-BR" sz="1100" baseline="0"/>
            <a:t>    </a:t>
          </a:r>
          <a:r>
            <a:rPr lang="pt-BR" sz="1100"/>
            <a:t> </a:t>
          </a:r>
          <a:r>
            <a:rPr lang="pt-BR" sz="1800" b="1"/>
            <a:t>CAD 3</a:t>
          </a:r>
          <a:r>
            <a:rPr lang="pt-BR" sz="1800" b="1" baseline="0"/>
            <a:t> - 2025</a:t>
          </a:r>
          <a:endParaRPr lang="pt-BR" sz="1800" b="1"/>
        </a:p>
      </xdr:txBody>
    </xdr:sp>
    <xdr:clientData/>
  </xdr:twoCellAnchor>
  <xdr:twoCellAnchor>
    <xdr:from>
      <xdr:col>4</xdr:col>
      <xdr:colOff>590550</xdr:colOff>
      <xdr:row>3</xdr:row>
      <xdr:rowOff>95250</xdr:rowOff>
    </xdr:from>
    <xdr:to>
      <xdr:col>8</xdr:col>
      <xdr:colOff>0</xdr:colOff>
      <xdr:row>7</xdr:row>
      <xdr:rowOff>104775</xdr:rowOff>
    </xdr:to>
    <xdr:sp macro="" textlink="">
      <xdr:nvSpPr>
        <xdr:cNvPr id="14" name="Retângulo: Cantos Arredondados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74A3E9B-3BE9-1C9B-7D84-F1358466B28F}"/>
            </a:ext>
          </a:extLst>
        </xdr:cNvPr>
        <xdr:cNvSpPr/>
      </xdr:nvSpPr>
      <xdr:spPr>
        <a:xfrm>
          <a:off x="3028950" y="666750"/>
          <a:ext cx="1847850" cy="7715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  <a:p>
          <a:pPr algn="l"/>
          <a:r>
            <a:rPr lang="pt-BR" sz="1100"/>
            <a:t>    </a:t>
          </a:r>
          <a:r>
            <a:rPr lang="pt-BR" sz="1100" baseline="0"/>
            <a:t>    </a:t>
          </a:r>
          <a:r>
            <a:rPr lang="pt-BR" sz="1100"/>
            <a:t> </a:t>
          </a:r>
          <a:r>
            <a:rPr lang="pt-BR" sz="1800" b="1"/>
            <a:t>CAD 1</a:t>
          </a:r>
          <a:r>
            <a:rPr lang="pt-BR" sz="1800" b="1" baseline="0"/>
            <a:t> - 2025</a:t>
          </a:r>
          <a:endParaRPr lang="pt-BR" sz="1800" b="1"/>
        </a:p>
      </xdr:txBody>
    </xdr:sp>
    <xdr:clientData/>
  </xdr:twoCellAnchor>
  <xdr:twoCellAnchor>
    <xdr:from>
      <xdr:col>6</xdr:col>
      <xdr:colOff>571500</xdr:colOff>
      <xdr:row>0</xdr:row>
      <xdr:rowOff>123825</xdr:rowOff>
    </xdr:from>
    <xdr:to>
      <xdr:col>13</xdr:col>
      <xdr:colOff>523875</xdr:colOff>
      <xdr:row>2</xdr:row>
      <xdr:rowOff>142875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0844C0B9-A163-8808-EB43-3C93998B8293}"/>
            </a:ext>
          </a:extLst>
        </xdr:cNvPr>
        <xdr:cNvSpPr txBox="1"/>
      </xdr:nvSpPr>
      <xdr:spPr>
        <a:xfrm>
          <a:off x="4229100" y="123825"/>
          <a:ext cx="4219575" cy="400050"/>
        </a:xfrm>
        <a:prstGeom prst="rect">
          <a:avLst/>
        </a:prstGeom>
        <a:solidFill>
          <a:schemeClr val="bg1">
            <a:lumMod val="6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2800" b="1">
              <a:solidFill>
                <a:schemeClr val="bg1"/>
              </a:solidFill>
            </a:rPr>
            <a:t>Monitoramento UFV CAD's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1536409</xdr:colOff>
      <xdr:row>48</xdr:row>
      <xdr:rowOff>45503</xdr:rowOff>
    </xdr:from>
    <xdr:ext cx="184731" cy="937693"/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4F4D73C5-9710-088F-DB78-D86BF7DDC088}"/>
            </a:ext>
          </a:extLst>
        </xdr:cNvPr>
        <xdr:cNvSpPr/>
      </xdr:nvSpPr>
      <xdr:spPr>
        <a:xfrm>
          <a:off x="12756859" y="9189503"/>
          <a:ext cx="184731" cy="93769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pt-BR" sz="54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>
    <xdr:from>
      <xdr:col>9</xdr:col>
      <xdr:colOff>19049</xdr:colOff>
      <xdr:row>47</xdr:row>
      <xdr:rowOff>19050</xdr:rowOff>
    </xdr:from>
    <xdr:to>
      <xdr:col>12</xdr:col>
      <xdr:colOff>9525</xdr:colOff>
      <xdr:row>50</xdr:row>
      <xdr:rowOff>142875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DC04EBAD-B888-9320-A3E8-FBA6E81FA3A1}"/>
            </a:ext>
          </a:extLst>
        </xdr:cNvPr>
        <xdr:cNvSpPr txBox="1"/>
      </xdr:nvSpPr>
      <xdr:spPr>
        <a:xfrm>
          <a:off x="9448799" y="8972550"/>
          <a:ext cx="5505451" cy="695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No</a:t>
          </a:r>
          <a:r>
            <a:rPr lang="pt-BR" sz="1100" baseline="0"/>
            <a:t> m</a:t>
          </a:r>
          <a:r>
            <a:rPr lang="pt-BR" sz="1100"/>
            <a:t>ês de junho de 2025 houve uma falha no sistema de aquisição de dados que o deixou inoperante por três semanas e por causa disso o valor medido  durante esse período foi perdido resultando</a:t>
          </a:r>
          <a:r>
            <a:rPr lang="pt-BR" sz="1100" baseline="0"/>
            <a:t> em parâmetros</a:t>
          </a:r>
          <a:r>
            <a:rPr lang="pt-BR" sz="1100"/>
            <a:t> abaixo do esperado.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259080</xdr:colOff>
      <xdr:row>865</xdr:row>
      <xdr:rowOff>41910</xdr:rowOff>
    </xdr:from>
    <xdr:to>
      <xdr:col>12</xdr:col>
      <xdr:colOff>289560</xdr:colOff>
      <xdr:row>880</xdr:row>
      <xdr:rowOff>41910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E1B9CFC-B5C3-29E6-9931-387B099E51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1363980</xdr:colOff>
      <xdr:row>4</xdr:row>
      <xdr:rowOff>60960</xdr:rowOff>
    </xdr:from>
    <xdr:to>
      <xdr:col>15</xdr:col>
      <xdr:colOff>411480</xdr:colOff>
      <xdr:row>29</xdr:row>
      <xdr:rowOff>22860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D0CD10A-4CD5-1C3B-1562-89501D376F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gor H. Canedo Vieira" refreshedDate="45580.44492858796" createdVersion="8" refreshedVersion="8" minRefreshableVersion="3" recordCount="877" xr:uid="{F13284ED-6EE5-4909-B582-284FA2D7D67A}">
  <cacheSource type="worksheet">
    <worksheetSource ref="A1:B878" sheet="Pot. Pico"/>
  </cacheSource>
  <cacheFields count="4">
    <cacheField name="Data/Hora" numFmtId="165">
      <sharedItems containsSemiMixedTypes="0" containsNonDate="0" containsDate="1" containsString="0" minDate="2023-01-01T10:05:52" maxDate="2023-12-30T11:50:28" count="877">
        <d v="2023-01-01T10:05:52"/>
        <d v="2023-01-01T10:06:02"/>
        <d v="2023-01-01T13:22:35"/>
        <d v="2023-01-01T13:22:45"/>
        <d v="2023-01-01T13:22:55"/>
        <d v="2023-01-01T13:23:05"/>
        <d v="2023-01-01T13:23:15"/>
        <d v="2023-01-01T13:25:45"/>
        <d v="2023-01-01T13:25:55"/>
        <d v="2023-01-01T13:26:05"/>
        <d v="2023-01-01T13:26:15"/>
        <d v="2023-01-01T13:26:25"/>
        <d v="2023-01-01T13:26:35"/>
        <d v="2023-01-01T13:56:15"/>
        <d v="2023-01-01T13:56:25"/>
        <d v="2023-01-01T14:11:16"/>
        <d v="2023-01-02T09:22:22"/>
        <d v="2023-01-02T09:22:32"/>
        <d v="2023-01-02T09:22:42"/>
        <d v="2023-01-02T09:22:52"/>
        <d v="2023-01-02T09:23:02"/>
        <d v="2023-01-02T09:24:32"/>
        <d v="2023-01-02T09:24:42"/>
        <d v="2023-01-02T09:31:53"/>
        <d v="2023-01-02T09:32:03"/>
        <d v="2023-01-02T09:32:13"/>
        <d v="2023-01-02T09:32:23"/>
        <d v="2023-01-02T09:46:53"/>
        <d v="2023-01-02T09:47:03"/>
        <d v="2023-01-02T09:47:13"/>
        <d v="2023-01-02T10:00:03"/>
        <d v="2023-01-02T10:00:13"/>
        <d v="2023-01-02T10:00:23"/>
        <d v="2023-01-02T10:00:33"/>
        <d v="2023-01-02T10:00:43"/>
        <d v="2023-01-02T10:00:53"/>
        <d v="2023-01-02T10:01:03"/>
        <d v="2023-01-02T10:01:13"/>
        <d v="2023-01-02T10:01:23"/>
        <d v="2023-01-02T10:01:33"/>
        <d v="2023-01-02T10:01:43"/>
        <d v="2023-01-02T10:02:03"/>
        <d v="2023-01-02T10:03:13"/>
        <d v="2023-01-02T10:10:53"/>
        <d v="2023-01-02T10:11:43"/>
        <d v="2023-01-02T10:11:53"/>
        <d v="2023-01-02T10:12:33"/>
        <d v="2023-01-02T10:12:53"/>
        <d v="2023-01-02T10:13:03"/>
        <d v="2023-01-02T10:13:13"/>
        <d v="2023-01-02T10:13:43"/>
        <d v="2023-01-02T10:13:53"/>
        <d v="2023-01-02T10:14:03"/>
        <d v="2023-01-02T10:14:23"/>
        <d v="2023-01-02T10:14:33"/>
        <d v="2023-01-02T10:14:43"/>
        <d v="2023-01-02T10:14:53"/>
        <d v="2023-01-02T10:15:03"/>
        <d v="2023-01-02T10:15:13"/>
        <d v="2023-01-02T10:15:23"/>
        <d v="2023-01-02T10:15:33"/>
        <d v="2023-01-02T10:15:43"/>
        <d v="2023-01-02T10:15:53"/>
        <d v="2023-01-02T11:08:24"/>
        <d v="2023-01-02T11:08:34"/>
        <d v="2023-01-02T13:02:46"/>
        <d v="2023-01-02T13:07:06"/>
        <d v="2023-01-02T13:07:16"/>
        <d v="2023-01-02T13:07:36"/>
        <d v="2023-01-02T13:07:46"/>
        <d v="2023-01-02T13:07:56"/>
        <d v="2023-01-02T13:13:06"/>
        <d v="2023-01-02T13:13:16"/>
        <d v="2023-01-02T13:13:56"/>
        <d v="2023-01-02T13:14:06"/>
        <d v="2023-01-02T13:14:26"/>
        <d v="2023-01-02T13:14:36"/>
        <d v="2023-01-02T13:14:46"/>
        <d v="2023-01-02T13:14:56"/>
        <d v="2023-01-02T13:24:16"/>
        <d v="2023-01-02T13:25:56"/>
        <d v="2023-01-02T13:26:06"/>
        <d v="2023-01-02T13:26:16"/>
        <d v="2023-01-02T13:31:36"/>
        <d v="2023-01-02T13:31:46"/>
        <d v="2023-01-02T13:31:56"/>
        <d v="2023-01-02T13:32:06"/>
        <d v="2023-01-02T13:33:16"/>
        <d v="2023-01-02T13:57:06"/>
        <d v="2023-01-03T11:44:33"/>
        <d v="2023-01-03T11:44:53"/>
        <d v="2023-01-03T11:56:33"/>
        <d v="2023-01-03T11:56:43"/>
        <d v="2023-01-03T11:57:23"/>
        <d v="2023-01-04T10:11:03"/>
        <d v="2023-01-04T10:11:53"/>
        <d v="2023-01-04T10:12:03"/>
        <d v="2023-01-04T10:14:53"/>
        <d v="2023-01-04T10:16:13"/>
        <d v="2023-01-04T10:23:53"/>
        <d v="2023-01-04T10:24:43"/>
        <d v="2023-01-04T10:34:33"/>
        <d v="2023-01-04T10:34:43"/>
        <d v="2023-01-04T10:39:14"/>
        <d v="2023-01-04T10:41:14"/>
        <d v="2023-01-04T10:44:54"/>
        <d v="2023-01-04T10:45:04"/>
        <d v="2023-01-04T10:45:14"/>
        <d v="2023-01-04T10:45:24"/>
        <d v="2023-01-04T10:45:34"/>
        <d v="2023-01-04T10:45:44"/>
        <d v="2023-01-04T10:46:14"/>
        <d v="2023-01-04T10:46:24"/>
        <d v="2023-01-04T10:46:44"/>
        <d v="2023-01-04T10:55:24"/>
        <d v="2023-01-04T11:48:15"/>
        <d v="2023-01-04T11:48:25"/>
        <d v="2023-01-07T11:08:24"/>
        <d v="2023-01-07T11:08:34"/>
        <d v="2023-01-07T11:22:34"/>
        <d v="2023-01-07T11:23:24"/>
        <d v="2023-01-07T11:23:34"/>
        <d v="2023-01-07T11:23:44"/>
        <d v="2023-01-07T11:23:54"/>
        <d v="2023-01-07T11:24:04"/>
        <d v="2023-01-07T11:24:14"/>
        <d v="2023-01-07T11:24:24"/>
        <d v="2023-01-07T11:24:44"/>
        <d v="2023-01-07T11:47:24"/>
        <d v="2023-01-07T11:47:34"/>
        <d v="2023-01-07T12:40:55"/>
        <d v="2023-01-07T12:44:45"/>
        <d v="2023-01-07T12:44:55"/>
        <d v="2023-01-07T12:45:05"/>
        <d v="2023-01-07T12:45:15"/>
        <d v="2023-01-07T12:45:25"/>
        <d v="2023-01-07T12:52:35"/>
        <d v="2023-01-07T12:52:45"/>
        <d v="2023-01-07T12:52:55"/>
        <d v="2023-01-07T12:53:05"/>
        <d v="2023-01-07T12:54:46"/>
        <d v="2023-01-07T13:02:36"/>
        <d v="2023-01-07T13:03:46"/>
        <d v="2023-01-07T13:03:56"/>
        <d v="2023-01-07T13:05:26"/>
        <d v="2023-01-07T13:05:36"/>
        <d v="2023-01-07T13:05:46"/>
        <d v="2023-01-07T13:05:56"/>
        <d v="2023-01-07T13:06:06"/>
        <d v="2023-01-07T13:06:16"/>
        <d v="2023-01-07T13:06:26"/>
        <d v="2023-01-07T13:06:36"/>
        <d v="2023-01-07T13:06:46"/>
        <d v="2023-01-07T13:06:56"/>
        <d v="2023-01-07T13:07:06"/>
        <d v="2023-01-09T10:11:32"/>
        <d v="2023-01-09T10:11:52"/>
        <d v="2023-01-09T10:12:02"/>
        <d v="2023-01-09T10:14:32"/>
        <d v="2023-01-09T10:14:42"/>
        <d v="2023-01-09T12:53:56"/>
        <d v="2023-01-09T12:54:06"/>
        <d v="2023-01-09T13:00:46"/>
        <d v="2023-01-09T13:01:26"/>
        <d v="2023-01-15T12:31:36"/>
        <d v="2023-01-15T12:31:46"/>
        <d v="2023-01-15T12:32:46"/>
        <d v="2023-01-15T12:32:56"/>
        <d v="2023-01-15T12:44:26"/>
        <d v="2023-01-17T09:52:50"/>
        <d v="2023-01-22T11:01:33"/>
        <d v="2023-01-22T11:20:33"/>
        <d v="2023-01-22T11:20:43"/>
        <d v="2023-01-22T11:20:53"/>
        <d v="2023-01-22T11:21:03"/>
        <d v="2023-01-22T11:21:13"/>
        <d v="2023-01-22T11:21:23"/>
        <d v="2023-01-22T11:21:33"/>
        <d v="2023-01-22T11:21:43"/>
        <d v="2023-01-22T11:22:03"/>
        <d v="2023-01-22T11:22:13"/>
        <d v="2023-01-22T11:22:23"/>
        <d v="2023-01-22T11:24:43"/>
        <d v="2023-01-22T11:25:33"/>
        <d v="2023-01-22T11:25:43"/>
        <d v="2023-01-22T11:25:53"/>
        <d v="2023-01-22T11:26:03"/>
        <d v="2023-01-22T11:26:13"/>
        <d v="2023-01-22T11:26:23"/>
        <d v="2023-01-22T11:26:33"/>
        <d v="2023-01-22T11:26:43"/>
        <d v="2023-01-22T11:26:53"/>
        <d v="2023-01-22T11:27:03"/>
        <d v="2023-01-22T11:27:13"/>
        <d v="2023-01-22T11:27:23"/>
        <d v="2023-01-22T11:27:33"/>
        <d v="2023-01-22T11:28:33"/>
        <d v="2023-01-22T11:28:43"/>
        <d v="2023-01-22T11:28:53"/>
        <d v="2023-01-22T11:38:54"/>
        <d v="2023-01-22T11:39:04"/>
        <d v="2023-01-22T11:39:14"/>
        <d v="2023-01-22T11:39:24"/>
        <d v="2023-01-22T11:39:34"/>
        <d v="2023-01-22T11:40:24"/>
        <d v="2023-01-22T11:41:34"/>
        <d v="2023-01-24T11:52:20"/>
        <d v="2023-01-24T11:52:30"/>
        <d v="2023-01-24T11:53:00"/>
        <d v="2023-01-24T11:53:30"/>
        <d v="2023-01-24T11:53:40"/>
        <d v="2023-01-24T11:53:50"/>
        <d v="2023-01-24T11:54:00"/>
        <d v="2023-01-24T11:54:10"/>
        <d v="2023-01-24T11:54:30"/>
        <d v="2023-01-24T11:55:00"/>
        <d v="2023-01-24T11:56:00"/>
        <d v="2023-01-24T11:56:10"/>
        <d v="2023-01-24T12:13:11"/>
        <d v="2023-01-24T12:13:21"/>
        <d v="2023-01-24T12:13:31"/>
        <d v="2023-01-24T12:13:41"/>
        <d v="2023-01-24T12:17:21"/>
        <d v="2023-01-24T12:17:31"/>
        <d v="2023-01-24T12:17:51"/>
        <d v="2023-01-24T12:34:51"/>
        <d v="2023-01-24T12:35:01"/>
        <d v="2023-01-24T12:35:11"/>
        <d v="2023-01-24T12:35:31"/>
        <d v="2023-01-24T12:35:41"/>
        <d v="2023-01-24T13:18:32"/>
        <d v="2023-01-24T13:26:42"/>
        <d v="2023-01-24T13:26:52"/>
        <d v="2023-01-24T13:27:02"/>
        <d v="2023-01-24T13:27:12"/>
        <d v="2023-01-24T13:27:22"/>
        <d v="2023-01-24T13:27:32"/>
        <d v="2023-01-24T13:27:42"/>
        <d v="2023-01-24T13:27:52"/>
        <d v="2023-01-24T13:28:02"/>
        <d v="2023-01-24T13:28:42"/>
        <d v="2023-01-24T13:30:52"/>
        <d v="2023-01-25T10:57:11"/>
        <d v="2023-01-25T11:21:02"/>
        <d v="2023-01-25T11:25:02"/>
        <d v="2023-01-25T11:25:22"/>
        <d v="2023-01-26T10:49:55"/>
        <d v="2023-01-26T10:50:05"/>
        <d v="2023-01-26T10:50:15"/>
        <d v="2023-01-26T10:50:25"/>
        <d v="2023-01-26T10:50:35"/>
        <d v="2023-01-26T10:50:55"/>
        <d v="2023-01-26T10:51:25"/>
        <d v="2023-01-26T10:51:35"/>
        <d v="2023-01-26T10:51:45"/>
        <d v="2023-01-26T10:51:55"/>
        <d v="2023-01-26T10:52:05"/>
        <d v="2023-01-26T10:52:15"/>
        <d v="2023-01-26T10:53:15"/>
        <d v="2023-01-26T10:54:05"/>
        <d v="2023-01-26T10:57:45"/>
        <d v="2023-01-26T11:58:07"/>
        <d v="2023-01-26T11:59:47"/>
        <d v="2023-01-26T11:59:57"/>
        <d v="2023-01-26T12:00:07"/>
        <d v="2023-01-26T12:00:17"/>
        <d v="2023-01-26T12:00:27"/>
        <d v="2023-01-26T12:00:37"/>
        <d v="2023-01-26T12:00:47"/>
        <d v="2023-01-26T12:00:57"/>
        <d v="2023-01-26T12:01:07"/>
        <d v="2023-01-26T12:01:17"/>
        <d v="2023-01-26T12:09:17"/>
        <d v="2023-01-26T12:09:27"/>
        <d v="2023-01-26T12:12:57"/>
        <d v="2023-01-26T12:13:07"/>
        <d v="2023-01-26T12:13:17"/>
        <d v="2023-01-26T12:13:27"/>
        <d v="2023-01-26T12:13:37"/>
        <d v="2023-01-26T12:14:07"/>
        <d v="2023-01-26T13:54:59"/>
        <d v="2023-01-26T13:55:09"/>
        <d v="2023-01-26T13:55:19"/>
        <d v="2023-01-26T13:55:29"/>
        <d v="2023-01-26T13:55:40"/>
        <d v="2023-01-26T13:55:50"/>
        <d v="2023-01-26T13:56:00"/>
        <d v="2023-01-26T13:56:10"/>
        <d v="2023-01-26T13:56:20"/>
        <d v="2023-01-26T13:56:30"/>
        <d v="2023-01-26T13:56:40"/>
        <d v="2023-01-26T13:56:50"/>
        <d v="2023-01-26T13:57:00"/>
        <d v="2023-01-26T13:57:10"/>
        <d v="2023-01-26T13:57:20"/>
        <d v="2023-01-26T13:57:30"/>
        <d v="2023-01-27T10:22:10"/>
        <d v="2023-01-27T10:49:30"/>
        <d v="2023-01-27T10:50:01"/>
        <d v="2023-01-27T11:30:42"/>
        <d v="2023-01-27T11:30:52"/>
        <d v="2023-01-27T11:31:02"/>
        <d v="2023-01-27T11:31:12"/>
        <d v="2023-01-27T11:31:42"/>
        <d v="2023-01-27T11:31:52"/>
        <d v="2023-01-27T11:32:22"/>
        <d v="2023-01-27T11:32:32"/>
        <d v="2023-01-27T11:33:02"/>
        <d v="2023-01-27T11:33:12"/>
        <d v="2023-01-27T11:33:22"/>
        <d v="2023-01-27T11:37:42"/>
        <d v="2023-01-27T11:38:32"/>
        <d v="2023-01-27T11:38:42"/>
        <d v="2023-01-27T11:38:52"/>
        <d v="2023-01-27T11:50:42"/>
        <d v="2023-01-27T11:50:52"/>
        <d v="2023-01-27T11:51:02"/>
        <d v="2023-01-27T11:51:12"/>
        <d v="2023-01-27T11:51:22"/>
        <d v="2023-01-27T11:51:32"/>
        <d v="2023-01-27T11:52:02"/>
        <d v="2023-01-27T11:54:32"/>
        <d v="2023-01-27T11:54:52"/>
        <d v="2023-01-27T12:45:43"/>
        <d v="2023-01-27T12:45:53"/>
        <d v="2023-01-27T12:46:03"/>
        <d v="2023-01-27T12:46:13"/>
        <d v="2023-01-27T12:46:23"/>
        <d v="2023-01-27T12:47:43"/>
        <d v="2023-01-27T12:47:53"/>
        <d v="2023-01-27T12:48:03"/>
        <d v="2023-01-27T12:48:13"/>
        <d v="2023-01-27T12:48:23"/>
        <d v="2023-01-27T12:48:33"/>
        <d v="2023-01-27T12:51:03"/>
        <d v="2023-01-27T12:51:13"/>
        <d v="2023-01-27T12:51:23"/>
        <d v="2023-01-27T12:51:33"/>
        <d v="2023-01-27T12:51:43"/>
        <d v="2023-01-27T12:51:53"/>
        <d v="2023-01-27T12:52:03"/>
        <d v="2023-01-27T12:52:13"/>
        <d v="2023-01-27T12:52:23"/>
        <d v="2023-01-27T12:55:53"/>
        <d v="2023-01-27T13:02:44"/>
        <d v="2023-01-27T13:03:34"/>
        <d v="2023-01-27T13:03:44"/>
        <d v="2023-01-27T14:09:25"/>
        <d v="2023-01-27T14:09:45"/>
        <d v="2023-01-27T14:09:55"/>
        <d v="2023-01-27T14:10:05"/>
        <d v="2023-01-27T14:10:15"/>
        <d v="2023-01-27T14:10:25"/>
        <d v="2023-01-27T14:10:35"/>
        <d v="2023-01-27T14:10:45"/>
        <d v="2023-01-28T11:02:57"/>
        <d v="2023-01-28T11:03:07"/>
        <d v="2023-01-28T11:17:28"/>
        <d v="2023-01-28T11:17:38"/>
        <d v="2023-01-28T11:17:48"/>
        <d v="2023-01-28T11:17:58"/>
        <d v="2023-01-28T11:18:08"/>
        <d v="2023-01-28T11:18:18"/>
        <d v="2023-01-28T11:18:28"/>
        <d v="2023-01-28T11:36:48"/>
        <d v="2023-01-28T11:36:58"/>
        <d v="2023-01-28T11:37:08"/>
        <d v="2023-01-28T11:38:28"/>
        <d v="2023-01-28T11:38:38"/>
        <d v="2023-01-28T11:38:48"/>
        <d v="2023-01-28T11:38:58"/>
        <d v="2023-01-28T11:39:08"/>
        <d v="2023-01-30T11:04:45"/>
        <d v="2023-01-30T11:08:15"/>
        <d v="2023-01-30T11:08:25"/>
        <d v="2023-01-30T11:08:35"/>
        <d v="2023-01-30T11:08:45"/>
        <d v="2023-01-30T11:09:05"/>
        <d v="2023-01-30T11:09:15"/>
        <d v="2023-01-30T11:09:25"/>
        <d v="2023-01-30T11:09:35"/>
        <d v="2023-01-30T11:09:45"/>
        <d v="2023-01-30T11:41:36"/>
        <d v="2023-01-30T11:42:16"/>
        <d v="2023-01-30T11:42:46"/>
        <d v="2023-01-30T11:42:56"/>
        <d v="2023-01-30T11:43:06"/>
        <d v="2023-01-30T11:43:16"/>
        <d v="2023-01-30T11:43:26"/>
        <d v="2023-01-30T11:43:36"/>
        <d v="2023-01-30T11:43:46"/>
        <d v="2023-01-30T11:44:16"/>
        <d v="2023-01-30T11:44:26"/>
        <d v="2023-01-30T11:44:36"/>
        <d v="2023-01-30T11:44:46"/>
        <d v="2023-01-30T11:44:56"/>
        <d v="2023-01-30T11:45:06"/>
        <d v="2023-01-30T11:45:16"/>
        <d v="2023-01-30T11:45:26"/>
        <d v="2023-01-30T11:56:16"/>
        <d v="2023-01-30T11:57:56"/>
        <d v="2023-01-30T11:58:07"/>
        <d v="2023-01-30T11:58:17"/>
        <d v="2023-01-30T12:11:07"/>
        <d v="2023-01-30T12:11:17"/>
        <d v="2023-01-30T12:11:27"/>
        <d v="2023-01-30T12:11:37"/>
        <d v="2023-01-30T12:11:47"/>
        <d v="2023-01-30T12:16:47"/>
        <d v="2023-01-30T12:16:57"/>
        <d v="2023-01-31T10:46:06"/>
        <d v="2023-01-31T11:01:36"/>
        <d v="2023-01-31T11:32:27"/>
        <d v="2023-01-31T11:32:37"/>
        <d v="2023-01-31T11:32:47"/>
        <d v="2023-01-31T11:32:57"/>
        <d v="2023-01-31T11:33:07"/>
        <d v="2023-01-31T11:33:17"/>
        <d v="2023-01-31T11:33:27"/>
        <d v="2023-01-31T11:33:37"/>
        <d v="2023-01-31T11:33:47"/>
        <d v="2023-01-31T11:33:57"/>
        <d v="2023-01-31T11:34:07"/>
        <d v="2023-01-31T11:34:17"/>
        <d v="2023-01-31T11:34:27"/>
        <d v="2023-01-31T11:34:37"/>
        <d v="2023-01-31T11:34:47"/>
        <d v="2023-01-31T11:34:57"/>
        <d v="2023-01-31T11:35:07"/>
        <d v="2023-01-31T11:35:17"/>
        <d v="2023-01-31T11:35:27"/>
        <d v="2023-01-31T11:35:37"/>
        <d v="2023-01-31T11:35:47"/>
        <d v="2023-01-31T11:35:57"/>
        <d v="2023-01-31T11:36:07"/>
        <d v="2023-01-31T11:36:17"/>
        <d v="2023-01-31T11:36:27"/>
        <d v="2023-01-31T11:36:37"/>
        <d v="2023-01-31T11:36:47"/>
        <d v="2023-01-31T11:36:57"/>
        <d v="2023-01-31T11:37:07"/>
        <d v="2023-01-31T11:37:17"/>
        <d v="2023-01-31T11:37:27"/>
        <d v="2023-01-31T11:37:37"/>
        <d v="2023-01-31T11:37:47"/>
        <d v="2023-01-31T11:37:57"/>
        <d v="2023-01-31T11:38:07"/>
        <d v="2023-01-31T11:38:17"/>
        <d v="2023-01-31T11:38:27"/>
        <d v="2023-01-31T11:38:37"/>
        <d v="2023-01-31T11:38:47"/>
        <d v="2023-02-01T12:09:50"/>
        <d v="2023-02-01T12:10:00"/>
        <d v="2023-02-01T12:10:10"/>
        <d v="2023-02-01T12:10:20"/>
        <d v="2023-02-01T12:10:40"/>
        <d v="2023-02-01T12:10:50"/>
        <d v="2023-02-01T13:10:51"/>
        <d v="2023-02-01T13:11:01"/>
        <d v="2023-02-01T13:11:11"/>
        <d v="2023-02-01T13:15:51"/>
        <d v="2023-02-01T13:16:01"/>
        <d v="2023-02-01T13:16:21"/>
        <d v="2023-02-02T10:43:58"/>
        <d v="2023-02-02T10:44:08"/>
        <d v="2023-02-02T10:44:18"/>
        <d v="2023-02-02T10:44:28"/>
        <d v="2023-02-02T10:59:28"/>
        <d v="2023-02-02T11:25:19"/>
        <d v="2023-02-02T11:25:29"/>
        <d v="2023-02-02T11:50:50"/>
        <d v="2023-02-02T11:51:00"/>
        <d v="2023-02-02T11:52:10"/>
        <d v="2023-02-02T12:00:50"/>
        <d v="2023-02-02T12:01:00"/>
        <d v="2023-02-02T12:10:20"/>
        <d v="2023-02-02T12:10:30"/>
        <d v="2023-02-02T12:10:40"/>
        <d v="2023-02-02T12:10:50"/>
        <d v="2023-02-02T12:11:00"/>
        <d v="2023-02-02T12:11:10"/>
        <d v="2023-02-02T12:11:20"/>
        <d v="2023-02-02T12:25:31"/>
        <d v="2023-02-02T12:25:41"/>
        <d v="2023-02-02T12:25:51"/>
        <d v="2023-02-02T12:26:01"/>
        <d v="2023-02-02T12:26:21"/>
        <d v="2023-02-03T10:44:42"/>
        <d v="2023-02-04T12:03:57"/>
        <d v="2023-02-05T10:01:46"/>
        <d v="2023-02-05T10:03:06"/>
        <d v="2023-02-05T12:22:58"/>
        <d v="2023-02-05T12:23:08"/>
        <d v="2023-02-05T12:23:18"/>
        <d v="2023-02-05T12:23:28"/>
        <d v="2023-02-05T12:23:38"/>
        <d v="2023-02-07T12:55:36"/>
        <d v="2023-02-07T12:55:46"/>
        <d v="2023-02-07T12:56:16"/>
        <d v="2023-02-07T12:56:36"/>
        <d v="2023-02-07T12:56:46"/>
        <d v="2023-02-07T12:56:56"/>
        <d v="2023-02-07T12:57:06"/>
        <d v="2023-02-08T12:51:13"/>
        <d v="2023-02-08T12:51:23"/>
        <d v="2023-02-10T11:43:21"/>
        <d v="2023-02-10T11:43:31"/>
        <d v="2023-02-10T11:43:41"/>
        <d v="2023-02-10T11:43:51"/>
        <d v="2023-02-10T11:44:01"/>
        <d v="2023-02-10T12:39:12"/>
        <d v="2023-02-10T12:39:22"/>
        <d v="2023-02-10T12:39:32"/>
        <d v="2023-02-10T12:39:42"/>
        <d v="2023-02-10T12:39:52"/>
        <d v="2023-02-10T12:40:42"/>
        <d v="2023-02-15T11:14:20"/>
        <d v="2023-02-15T11:14:30"/>
        <d v="2023-02-15T11:58:01"/>
        <d v="2023-02-15T11:58:11"/>
        <d v="2023-02-19T12:51:45"/>
        <d v="2023-02-19T12:51:55"/>
        <d v="2023-02-19T12:52:05"/>
        <d v="2023-02-19T12:52:15"/>
        <d v="2023-02-19T12:52:25"/>
        <d v="2023-02-19T12:52:35"/>
        <d v="2023-02-20T11:21:23"/>
        <d v="2023-02-20T12:10:04"/>
        <d v="2023-02-20T12:10:14"/>
        <d v="2023-02-20T12:10:24"/>
        <d v="2023-02-20T12:19:04"/>
        <d v="2023-02-20T12:19:14"/>
        <d v="2023-02-20T12:37:14"/>
        <d v="2023-02-20T12:37:24"/>
        <d v="2023-02-20T12:37:34"/>
        <d v="2023-02-20T12:37:44"/>
        <d v="2023-02-20T12:37:54"/>
        <d v="2023-02-20T12:38:04"/>
        <d v="2023-02-20T12:39:14"/>
        <d v="2023-02-20T12:39:24"/>
        <d v="2023-02-20T12:39:34"/>
        <d v="2023-02-20T12:56:05"/>
        <d v="2023-02-20T12:57:15"/>
        <d v="2023-02-21T11:39:33"/>
        <d v="2023-02-24T11:21:58"/>
        <d v="2023-02-24T11:22:08"/>
        <d v="2023-02-24T11:22:18"/>
        <d v="2023-02-24T11:22:28"/>
        <d v="2023-02-24T12:03:09"/>
        <d v="2023-02-24T12:03:19"/>
        <d v="2023-02-24T12:56:00"/>
        <d v="2023-02-24T12:56:20"/>
        <d v="2023-02-24T12:56:30"/>
        <d v="2023-02-24T12:56:40"/>
        <d v="2023-02-24T12:56:50"/>
        <d v="2023-02-24T12:57:00"/>
        <d v="2023-02-24T12:57:10"/>
        <d v="2023-02-24T12:57:20"/>
        <d v="2023-02-24T12:58:10"/>
        <d v="2023-02-24T13:30:10"/>
        <d v="2023-02-24T13:30:20"/>
        <d v="2023-02-26T12:31:01"/>
        <d v="2023-02-26T12:31:11"/>
        <d v="2023-02-26T12:31:21"/>
        <d v="2023-02-26T12:31:31"/>
        <d v="2023-02-26T12:31:41"/>
        <d v="2023-02-26T12:31:51"/>
        <d v="2023-02-26T12:32:11"/>
        <d v="2023-02-26T12:32:21"/>
        <d v="2023-02-28T11:28:52"/>
        <d v="2023-03-07T12:20:05"/>
        <d v="2023-03-08T11:25:41"/>
        <d v="2023-03-08T11:25:51"/>
        <d v="2023-03-08T11:26:01"/>
        <d v="2023-03-08T12:29:42"/>
        <d v="2023-03-08T12:29:52"/>
        <d v="2023-03-08T12:35:32"/>
        <d v="2023-03-08T12:35:42"/>
        <d v="2023-03-08T12:35:52"/>
        <d v="2023-03-08T12:36:02"/>
        <d v="2023-03-08T12:36:12"/>
        <d v="2023-03-08T12:36:22"/>
        <d v="2023-03-08T12:36:52"/>
        <d v="2023-03-08T12:37:02"/>
        <d v="2023-03-08T12:37:12"/>
        <d v="2023-03-08T12:37:22"/>
        <d v="2023-03-08T12:37:32"/>
        <d v="2023-03-09T13:37:53"/>
        <d v="2023-03-09T13:38:23"/>
        <d v="2023-03-09T13:38:33"/>
        <d v="2023-03-09T13:38:43"/>
        <d v="2023-03-10T10:13:30"/>
        <d v="2023-03-10T10:39:20"/>
        <d v="2023-03-10T11:13:40"/>
        <d v="2023-03-10T11:13:50"/>
        <d v="2023-03-10T11:15:50"/>
        <d v="2023-03-10T11:18:30"/>
        <d v="2023-03-10T11:19:00"/>
        <d v="2023-03-10T12:19:11"/>
        <d v="2023-03-10T12:45:41"/>
        <d v="2023-03-10T12:45:51"/>
        <d v="2023-03-11T10:13:39"/>
        <d v="2023-03-11T10:13:49"/>
        <d v="2023-03-11T12:54:32"/>
        <d v="2023-03-14T12:15:54"/>
        <d v="2023-03-14T12:16:04"/>
        <d v="2023-03-14T12:16:14"/>
        <d v="2023-03-14T12:16:24"/>
        <d v="2023-03-18T11:15:57"/>
        <d v="2023-03-18T11:16:07"/>
        <d v="2023-03-18T11:16:27"/>
        <d v="2023-03-18T11:16:37"/>
        <d v="2023-03-18T11:24:07"/>
        <d v="2023-03-18T11:28:57"/>
        <d v="2023-03-18T11:29:07"/>
        <d v="2023-03-18T11:49:27"/>
        <d v="2023-03-18T11:50:47"/>
        <d v="2023-03-18T11:51:27"/>
        <d v="2023-03-18T11:57:58"/>
        <d v="2023-03-18T11:58:48"/>
        <d v="2023-03-18T11:58:58"/>
        <d v="2023-03-18T11:59:08"/>
        <d v="2023-03-18T11:59:18"/>
        <d v="2023-03-18T11:59:28"/>
        <d v="2023-03-18T12:00:58"/>
        <d v="2023-03-18T12:01:08"/>
        <d v="2023-03-18T12:11:28"/>
        <d v="2023-03-18T12:19:48"/>
        <d v="2023-03-18T13:12:59"/>
        <d v="2023-04-09T13:04:17"/>
        <d v="2023-04-14T12:23:29"/>
        <d v="2023-04-14T12:25:19"/>
        <d v="2023-04-14T12:25:49"/>
        <d v="2023-04-14T12:25:59"/>
        <d v="2023-04-21T10:55:57"/>
        <d v="2023-04-21T12:09:39"/>
        <d v="2023-04-21T12:09:49"/>
        <d v="2023-05-07T11:23:37"/>
        <d v="2023-05-08T11:42:25"/>
        <d v="2023-05-08T11:39:55"/>
        <d v="2023-05-08T11:40:05"/>
        <d v="2023-06-18T11:43:38"/>
        <d v="2023-06-27T11:02:36"/>
        <d v="2023-07-14T11:22:47"/>
        <d v="2023-07-17T11:59:10"/>
        <d v="2023-07-17T11:59:20"/>
        <d v="2023-07-17T11:59:50"/>
        <d v="2023-07-17T12:00:00"/>
        <d v="2023-07-20T13:16:35"/>
        <d v="2023-07-20T13:16:45"/>
        <d v="2023-07-20T13:16:55"/>
        <d v="2023-07-20T13:17:15"/>
        <d v="2023-08-27T12:29:28"/>
        <d v="2023-08-27T12:36:09"/>
        <d v="2023-08-30T11:36:22"/>
        <d v="2023-08-30T11:36:32"/>
        <d v="2023-08-30T12:40:22"/>
        <d v="2023-09-06T11:51:39"/>
        <d v="2023-09-11T11:52:31"/>
        <d v="2023-09-11T11:52:41"/>
        <d v="2023-09-29T11:05:09"/>
        <d v="2023-09-29T11:05:29"/>
        <d v="2023-09-29T11:05:39"/>
        <d v="2023-09-29T11:05:49"/>
        <d v="2023-09-29T11:54:49"/>
        <d v="2023-09-29T11:54:59"/>
        <d v="2023-09-29T12:23:50"/>
        <d v="2023-10-02T11:43:14"/>
        <d v="2023-10-14T10:54:25"/>
        <d v="2023-10-15T11:29:04"/>
        <d v="2023-10-15T11:29:14"/>
        <d v="2023-10-15T11:33:04"/>
        <d v="2023-10-15T11:33:24"/>
        <d v="2023-10-15T12:06:45"/>
        <d v="2023-10-15T12:06:55"/>
        <d v="2023-10-15T12:07:05"/>
        <d v="2023-10-22T09:34:53"/>
        <d v="2023-10-22T09:46:34"/>
        <d v="2023-10-22T10:02:24"/>
        <d v="2023-10-22T10:20:14"/>
        <d v="2023-10-22T10:31:34"/>
        <d v="2023-10-22T10:31:44"/>
        <d v="2023-10-22T10:35:04"/>
        <d v="2023-10-25T10:10:45"/>
        <d v="2023-10-30T10:59:20"/>
        <d v="2023-10-30T10:59:30"/>
        <d v="2023-11-02T11:12:35"/>
        <d v="2023-11-02T11:42:35"/>
        <d v="2023-11-02T11:43:25"/>
        <d v="2023-11-02T11:43:35"/>
        <d v="2023-11-03T10:09:43"/>
        <d v="2023-11-03T10:09:53"/>
        <d v="2023-11-03T10:10:03"/>
        <d v="2023-11-03T11:10:34"/>
        <d v="2023-11-03T11:10:44"/>
        <d v="2023-11-04T12:46:40"/>
        <d v="2023-11-04T12:46:50"/>
        <d v="2023-11-21T11:00:18"/>
        <d v="2023-11-21T11:02:58"/>
        <d v="2023-11-21T11:03:08"/>
        <d v="2023-11-21T11:03:18"/>
        <d v="2023-11-21T11:03:28"/>
        <d v="2023-11-21T11:03:38"/>
        <d v="2023-11-21T11:03:48"/>
        <d v="2023-11-21T11:19:38"/>
        <d v="2023-11-21T11:19:48"/>
        <d v="2023-11-21T11:19:58"/>
        <d v="2023-11-21T11:27:28"/>
        <d v="2023-11-21T11:27:38"/>
        <d v="2023-11-21T11:27:48"/>
        <d v="2023-11-21T11:27:58"/>
        <d v="2023-11-21T11:28:08"/>
        <d v="2023-11-21T11:28:18"/>
        <d v="2023-11-21T12:05:58"/>
        <d v="2023-11-21T12:09:58"/>
        <d v="2023-11-21T12:10:08"/>
        <d v="2023-11-21T12:10:18"/>
        <d v="2023-11-21T12:10:28"/>
        <d v="2023-11-21T12:10:38"/>
        <d v="2023-11-21T12:10:48"/>
        <d v="2023-11-21T12:10:58"/>
        <d v="2023-11-21T12:11:08"/>
        <d v="2023-11-21T12:11:18"/>
        <d v="2023-11-21T12:11:28"/>
        <d v="2023-11-21T12:11:38"/>
        <d v="2023-11-21T12:11:48"/>
        <d v="2023-11-21T12:11:58"/>
        <d v="2023-11-25T12:41:14"/>
        <d v="2023-11-25T12:41:24"/>
        <d v="2023-11-25T12:41:34"/>
        <d v="2023-11-25T12:47:14"/>
        <d v="2023-11-25T12:49:14"/>
        <d v="2023-11-25T12:49:24"/>
        <d v="2023-11-25T12:49:34"/>
        <d v="2023-11-25T12:49:44"/>
        <d v="2023-11-25T13:03:35"/>
        <d v="2023-11-25T13:06:55"/>
        <d v="2023-11-30T11:41:19"/>
        <d v="2023-11-30T11:45:09"/>
        <d v="2023-11-30T11:45:19"/>
        <d v="2023-11-30T11:50:59"/>
        <d v="2023-11-30T11:52:09"/>
        <d v="2023-11-30T11:53:19"/>
        <d v="2023-11-30T12:50:59"/>
        <d v="2023-12-10T10:15:57"/>
        <d v="2023-12-10T10:33:47"/>
        <d v="2023-12-10T10:33:57"/>
        <d v="2023-12-10T10:39:48"/>
        <d v="2023-12-10T10:39:58"/>
        <d v="2023-12-10T10:41:28"/>
        <d v="2023-12-10T10:41:38"/>
        <d v="2023-12-10T10:57:48"/>
        <d v="2023-12-10T10:57:58"/>
        <d v="2023-12-10T10:58:08"/>
        <d v="2023-12-10T10:58:18"/>
        <d v="2023-12-10T10:58:28"/>
        <d v="2023-12-10T10:58:38"/>
        <d v="2023-12-10T11:15:08"/>
        <d v="2023-12-10T11:15:18"/>
        <d v="2023-12-10T11:15:28"/>
        <d v="2023-12-10T11:15:38"/>
        <d v="2023-12-10T11:15:48"/>
        <d v="2023-12-10T11:15:58"/>
        <d v="2023-12-10T11:16:08"/>
        <d v="2023-12-10T11:16:28"/>
        <d v="2023-12-10T11:41:18"/>
        <d v="2023-12-10T11:41:28"/>
        <d v="2023-12-10T11:44:48"/>
        <d v="2023-12-10T11:44:58"/>
        <d v="2023-12-10T11:45:08"/>
        <d v="2023-12-10T11:45:18"/>
        <d v="2023-12-10T11:45:28"/>
        <d v="2023-12-10T11:45:38"/>
        <d v="2023-12-10T11:45:48"/>
        <d v="2023-12-10T11:45:58"/>
        <d v="2023-12-10T11:46:08"/>
        <d v="2023-12-10T11:48:18"/>
        <d v="2023-12-10T11:58:38"/>
        <d v="2023-12-10T11:58:48"/>
        <d v="2023-12-10T11:59:18"/>
        <d v="2023-12-10T11:59:28"/>
        <d v="2023-12-10T11:59:38"/>
        <d v="2023-12-10T11:59:48"/>
        <d v="2023-12-10T12:02:38"/>
        <d v="2023-12-10T12:16:49"/>
        <d v="2023-12-10T12:16:59"/>
        <d v="2023-12-10T12:17:09"/>
        <d v="2023-12-10T12:17:19"/>
        <d v="2023-12-10T12:17:29"/>
        <d v="2023-12-10T12:17:39"/>
        <d v="2023-12-10T12:17:49"/>
        <d v="2023-12-10T12:24:29"/>
        <d v="2023-12-10T12:24:39"/>
        <d v="2023-12-10T12:24:49"/>
        <d v="2023-12-10T12:24:59"/>
        <d v="2023-12-10T12:25:09"/>
        <d v="2023-12-10T12:35:29"/>
        <d v="2023-12-10T12:35:39"/>
        <d v="2023-12-10T12:35:49"/>
        <d v="2023-12-11T09:37:36"/>
        <d v="2023-12-11T09:37:46"/>
        <d v="2023-12-11T09:56:06"/>
        <d v="2023-12-11T09:56:16"/>
        <d v="2023-12-11T11:15:27"/>
        <d v="2023-12-11T11:15:37"/>
        <d v="2023-12-11T11:58:47"/>
        <d v="2023-12-13T10:36:04"/>
        <d v="2023-12-13T10:56:54"/>
        <d v="2023-12-13T10:57:04"/>
        <d v="2023-12-13T11:11:04"/>
        <d v="2023-12-13T11:16:44"/>
        <d v="2023-12-13T11:16:54"/>
        <d v="2023-12-13T11:28:14"/>
        <d v="2023-12-13T11:28:24"/>
        <d v="2023-12-13T11:28:44"/>
        <d v="2023-12-13T11:29:04"/>
        <d v="2023-12-13T11:29:14"/>
        <d v="2023-12-13T11:30:14"/>
        <d v="2023-12-13T11:30:24"/>
        <d v="2023-12-13T11:40:44"/>
        <d v="2023-12-13T11:40:54"/>
        <d v="2023-12-13T11:50:24"/>
        <d v="2023-12-13T11:50:34"/>
        <d v="2023-12-13T11:50:44"/>
        <d v="2023-12-13T12:05:15"/>
        <d v="2023-12-13T12:06:15"/>
        <d v="2023-12-13T12:06:25"/>
        <d v="2023-12-13T12:06:35"/>
        <d v="2023-12-19T10:30:18"/>
        <d v="2023-12-19T10:37:38"/>
        <d v="2023-12-19T11:07:48"/>
        <d v="2023-12-19T11:07:58"/>
        <d v="2023-12-19T11:08:08"/>
        <d v="2023-12-19T11:08:18"/>
        <d v="2023-12-19T11:08:28"/>
        <d v="2023-12-19T11:08:38"/>
        <d v="2023-12-19T11:08:48"/>
        <d v="2023-12-20T12:36:49"/>
        <d v="2023-12-20T12:36:59"/>
        <d v="2023-12-20T12:37:09"/>
        <d v="2023-12-20T12:37:19"/>
        <d v="2023-12-20T12:55:19"/>
        <d v="2023-12-20T12:55:39"/>
        <d v="2023-12-21T11:45:17"/>
        <d v="2023-12-21T12:08:28"/>
        <d v="2023-12-21T12:08:38"/>
        <d v="2023-12-21T12:09:08"/>
        <d v="2023-12-21T12:47:18"/>
        <d v="2023-12-21T12:47:28"/>
        <d v="2023-12-21T12:47:38"/>
        <d v="2023-12-21T12:47:48"/>
        <d v="2023-12-22T11:20:16"/>
        <d v="2023-12-22T11:20:36"/>
        <d v="2023-12-22T11:28:16"/>
        <d v="2023-12-22T11:30:06"/>
        <d v="2023-12-22T11:38:56"/>
        <d v="2023-12-22T11:39:06"/>
        <d v="2023-12-22T11:40:57"/>
        <d v="2023-12-22T11:41:07"/>
        <d v="2023-12-22T11:41:17"/>
        <d v="2023-12-22T11:41:27"/>
        <d v="2023-12-22T11:41:37"/>
        <d v="2023-12-22T11:41:47"/>
        <d v="2023-12-22T11:55:57"/>
        <d v="2023-12-22T12:33:17"/>
        <d v="2023-12-22T12:33:57"/>
        <d v="2023-12-24T10:00:03"/>
        <d v="2023-12-26T12:46:42"/>
        <d v="2023-12-26T12:46:52"/>
        <d v="2023-12-26T12:47:02"/>
        <d v="2023-12-26T12:47:42"/>
        <d v="2023-12-26T12:47:52"/>
        <d v="2023-12-26T12:48:22"/>
        <d v="2023-12-26T12:48:32"/>
        <d v="2023-12-28T13:03:01"/>
        <d v="2023-12-28T13:03:11"/>
        <d v="2023-12-30T11:50:28"/>
      </sharedItems>
      <fieldGroup par="3"/>
    </cacheField>
    <cacheField name="Pot. Ativa" numFmtId="0">
      <sharedItems count="5">
        <s v="150 kW"/>
        <s v="130 kW"/>
        <s v="135 kW"/>
        <s v="105 kW"/>
        <s v="125 kW"/>
      </sharedItems>
    </cacheField>
    <cacheField name="Dias (Data/Hora)" numFmtId="0" databaseField="0">
      <fieldGroup base="0">
        <rangePr groupBy="days" startDate="2023-01-01T10:05:52" endDate="2023-12-30T11:50:28"/>
        <groupItems count="368">
          <s v="&lt;01/01/2023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30/12/2023"/>
        </groupItems>
      </fieldGroup>
    </cacheField>
    <cacheField name="Meses (Data/Hora)" numFmtId="0" databaseField="0">
      <fieldGroup base="0">
        <rangePr groupBy="months" startDate="2023-01-01T10:05:52" endDate="2023-12-30T11:50:28"/>
        <groupItems count="14">
          <s v="&lt;01/01/2023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30/12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7">
  <r>
    <x v="0"/>
    <x v="0"/>
  </r>
  <r>
    <x v="1"/>
    <x v="0"/>
  </r>
  <r>
    <x v="2"/>
    <x v="0"/>
  </r>
  <r>
    <x v="3"/>
    <x v="0"/>
  </r>
  <r>
    <x v="4"/>
    <x v="0"/>
  </r>
  <r>
    <x v="5"/>
    <x v="0"/>
  </r>
  <r>
    <x v="6"/>
    <x v="0"/>
  </r>
  <r>
    <x v="7"/>
    <x v="0"/>
  </r>
  <r>
    <x v="8"/>
    <x v="0"/>
  </r>
  <r>
    <x v="9"/>
    <x v="0"/>
  </r>
  <r>
    <x v="10"/>
    <x v="0"/>
  </r>
  <r>
    <x v="11"/>
    <x v="0"/>
  </r>
  <r>
    <x v="12"/>
    <x v="0"/>
  </r>
  <r>
    <x v="13"/>
    <x v="0"/>
  </r>
  <r>
    <x v="14"/>
    <x v="0"/>
  </r>
  <r>
    <x v="15"/>
    <x v="0"/>
  </r>
  <r>
    <x v="16"/>
    <x v="0"/>
  </r>
  <r>
    <x v="17"/>
    <x v="0"/>
  </r>
  <r>
    <x v="18"/>
    <x v="0"/>
  </r>
  <r>
    <x v="19"/>
    <x v="0"/>
  </r>
  <r>
    <x v="20"/>
    <x v="0"/>
  </r>
  <r>
    <x v="21"/>
    <x v="0"/>
  </r>
  <r>
    <x v="22"/>
    <x v="0"/>
  </r>
  <r>
    <x v="23"/>
    <x v="0"/>
  </r>
  <r>
    <x v="24"/>
    <x v="0"/>
  </r>
  <r>
    <x v="25"/>
    <x v="0"/>
  </r>
  <r>
    <x v="26"/>
    <x v="0"/>
  </r>
  <r>
    <x v="27"/>
    <x v="0"/>
  </r>
  <r>
    <x v="28"/>
    <x v="0"/>
  </r>
  <r>
    <x v="29"/>
    <x v="0"/>
  </r>
  <r>
    <x v="30"/>
    <x v="0"/>
  </r>
  <r>
    <x v="31"/>
    <x v="0"/>
  </r>
  <r>
    <x v="32"/>
    <x v="0"/>
  </r>
  <r>
    <x v="33"/>
    <x v="0"/>
  </r>
  <r>
    <x v="34"/>
    <x v="0"/>
  </r>
  <r>
    <x v="35"/>
    <x v="0"/>
  </r>
  <r>
    <x v="36"/>
    <x v="0"/>
  </r>
  <r>
    <x v="37"/>
    <x v="0"/>
  </r>
  <r>
    <x v="38"/>
    <x v="0"/>
  </r>
  <r>
    <x v="39"/>
    <x v="0"/>
  </r>
  <r>
    <x v="40"/>
    <x v="0"/>
  </r>
  <r>
    <x v="41"/>
    <x v="0"/>
  </r>
  <r>
    <x v="42"/>
    <x v="0"/>
  </r>
  <r>
    <x v="43"/>
    <x v="0"/>
  </r>
  <r>
    <x v="44"/>
    <x v="0"/>
  </r>
  <r>
    <x v="45"/>
    <x v="0"/>
  </r>
  <r>
    <x v="46"/>
    <x v="0"/>
  </r>
  <r>
    <x v="47"/>
    <x v="0"/>
  </r>
  <r>
    <x v="48"/>
    <x v="0"/>
  </r>
  <r>
    <x v="49"/>
    <x v="0"/>
  </r>
  <r>
    <x v="50"/>
    <x v="0"/>
  </r>
  <r>
    <x v="51"/>
    <x v="0"/>
  </r>
  <r>
    <x v="52"/>
    <x v="0"/>
  </r>
  <r>
    <x v="53"/>
    <x v="0"/>
  </r>
  <r>
    <x v="54"/>
    <x v="0"/>
  </r>
  <r>
    <x v="55"/>
    <x v="0"/>
  </r>
  <r>
    <x v="56"/>
    <x v="0"/>
  </r>
  <r>
    <x v="57"/>
    <x v="0"/>
  </r>
  <r>
    <x v="58"/>
    <x v="0"/>
  </r>
  <r>
    <x v="59"/>
    <x v="0"/>
  </r>
  <r>
    <x v="60"/>
    <x v="0"/>
  </r>
  <r>
    <x v="61"/>
    <x v="0"/>
  </r>
  <r>
    <x v="62"/>
    <x v="0"/>
  </r>
  <r>
    <x v="63"/>
    <x v="0"/>
  </r>
  <r>
    <x v="64"/>
    <x v="0"/>
  </r>
  <r>
    <x v="65"/>
    <x v="0"/>
  </r>
  <r>
    <x v="66"/>
    <x v="0"/>
  </r>
  <r>
    <x v="67"/>
    <x v="0"/>
  </r>
  <r>
    <x v="68"/>
    <x v="0"/>
  </r>
  <r>
    <x v="69"/>
    <x v="0"/>
  </r>
  <r>
    <x v="70"/>
    <x v="0"/>
  </r>
  <r>
    <x v="71"/>
    <x v="0"/>
  </r>
  <r>
    <x v="72"/>
    <x v="0"/>
  </r>
  <r>
    <x v="73"/>
    <x v="0"/>
  </r>
  <r>
    <x v="74"/>
    <x v="0"/>
  </r>
  <r>
    <x v="75"/>
    <x v="0"/>
  </r>
  <r>
    <x v="76"/>
    <x v="0"/>
  </r>
  <r>
    <x v="77"/>
    <x v="0"/>
  </r>
  <r>
    <x v="78"/>
    <x v="0"/>
  </r>
  <r>
    <x v="79"/>
    <x v="0"/>
  </r>
  <r>
    <x v="80"/>
    <x v="0"/>
  </r>
  <r>
    <x v="81"/>
    <x v="0"/>
  </r>
  <r>
    <x v="82"/>
    <x v="0"/>
  </r>
  <r>
    <x v="83"/>
    <x v="0"/>
  </r>
  <r>
    <x v="84"/>
    <x v="0"/>
  </r>
  <r>
    <x v="85"/>
    <x v="0"/>
  </r>
  <r>
    <x v="86"/>
    <x v="0"/>
  </r>
  <r>
    <x v="87"/>
    <x v="0"/>
  </r>
  <r>
    <x v="88"/>
    <x v="0"/>
  </r>
  <r>
    <x v="89"/>
    <x v="0"/>
  </r>
  <r>
    <x v="90"/>
    <x v="0"/>
  </r>
  <r>
    <x v="91"/>
    <x v="0"/>
  </r>
  <r>
    <x v="92"/>
    <x v="0"/>
  </r>
  <r>
    <x v="93"/>
    <x v="0"/>
  </r>
  <r>
    <x v="94"/>
    <x v="0"/>
  </r>
  <r>
    <x v="95"/>
    <x v="0"/>
  </r>
  <r>
    <x v="96"/>
    <x v="0"/>
  </r>
  <r>
    <x v="97"/>
    <x v="0"/>
  </r>
  <r>
    <x v="98"/>
    <x v="0"/>
  </r>
  <r>
    <x v="99"/>
    <x v="0"/>
  </r>
  <r>
    <x v="100"/>
    <x v="0"/>
  </r>
  <r>
    <x v="101"/>
    <x v="0"/>
  </r>
  <r>
    <x v="102"/>
    <x v="0"/>
  </r>
  <r>
    <x v="103"/>
    <x v="0"/>
  </r>
  <r>
    <x v="104"/>
    <x v="0"/>
  </r>
  <r>
    <x v="105"/>
    <x v="0"/>
  </r>
  <r>
    <x v="106"/>
    <x v="0"/>
  </r>
  <r>
    <x v="107"/>
    <x v="0"/>
  </r>
  <r>
    <x v="108"/>
    <x v="0"/>
  </r>
  <r>
    <x v="109"/>
    <x v="0"/>
  </r>
  <r>
    <x v="110"/>
    <x v="0"/>
  </r>
  <r>
    <x v="111"/>
    <x v="0"/>
  </r>
  <r>
    <x v="112"/>
    <x v="0"/>
  </r>
  <r>
    <x v="113"/>
    <x v="0"/>
  </r>
  <r>
    <x v="114"/>
    <x v="0"/>
  </r>
  <r>
    <x v="115"/>
    <x v="0"/>
  </r>
  <r>
    <x v="116"/>
    <x v="0"/>
  </r>
  <r>
    <x v="117"/>
    <x v="0"/>
  </r>
  <r>
    <x v="118"/>
    <x v="0"/>
  </r>
  <r>
    <x v="119"/>
    <x v="0"/>
  </r>
  <r>
    <x v="120"/>
    <x v="0"/>
  </r>
  <r>
    <x v="121"/>
    <x v="0"/>
  </r>
  <r>
    <x v="122"/>
    <x v="0"/>
  </r>
  <r>
    <x v="123"/>
    <x v="0"/>
  </r>
  <r>
    <x v="124"/>
    <x v="0"/>
  </r>
  <r>
    <x v="125"/>
    <x v="0"/>
  </r>
  <r>
    <x v="126"/>
    <x v="0"/>
  </r>
  <r>
    <x v="127"/>
    <x v="0"/>
  </r>
  <r>
    <x v="128"/>
    <x v="0"/>
  </r>
  <r>
    <x v="129"/>
    <x v="0"/>
  </r>
  <r>
    <x v="130"/>
    <x v="0"/>
  </r>
  <r>
    <x v="131"/>
    <x v="0"/>
  </r>
  <r>
    <x v="132"/>
    <x v="0"/>
  </r>
  <r>
    <x v="133"/>
    <x v="0"/>
  </r>
  <r>
    <x v="134"/>
    <x v="0"/>
  </r>
  <r>
    <x v="135"/>
    <x v="0"/>
  </r>
  <r>
    <x v="136"/>
    <x v="0"/>
  </r>
  <r>
    <x v="137"/>
    <x v="0"/>
  </r>
  <r>
    <x v="138"/>
    <x v="0"/>
  </r>
  <r>
    <x v="139"/>
    <x v="0"/>
  </r>
  <r>
    <x v="140"/>
    <x v="0"/>
  </r>
  <r>
    <x v="141"/>
    <x v="0"/>
  </r>
  <r>
    <x v="142"/>
    <x v="0"/>
  </r>
  <r>
    <x v="143"/>
    <x v="0"/>
  </r>
  <r>
    <x v="144"/>
    <x v="0"/>
  </r>
  <r>
    <x v="145"/>
    <x v="0"/>
  </r>
  <r>
    <x v="146"/>
    <x v="0"/>
  </r>
  <r>
    <x v="147"/>
    <x v="0"/>
  </r>
  <r>
    <x v="148"/>
    <x v="0"/>
  </r>
  <r>
    <x v="149"/>
    <x v="0"/>
  </r>
  <r>
    <x v="150"/>
    <x v="0"/>
  </r>
  <r>
    <x v="151"/>
    <x v="0"/>
  </r>
  <r>
    <x v="152"/>
    <x v="0"/>
  </r>
  <r>
    <x v="153"/>
    <x v="0"/>
  </r>
  <r>
    <x v="154"/>
    <x v="0"/>
  </r>
  <r>
    <x v="155"/>
    <x v="0"/>
  </r>
  <r>
    <x v="156"/>
    <x v="0"/>
  </r>
  <r>
    <x v="157"/>
    <x v="0"/>
  </r>
  <r>
    <x v="158"/>
    <x v="0"/>
  </r>
  <r>
    <x v="159"/>
    <x v="0"/>
  </r>
  <r>
    <x v="160"/>
    <x v="0"/>
  </r>
  <r>
    <x v="161"/>
    <x v="0"/>
  </r>
  <r>
    <x v="162"/>
    <x v="0"/>
  </r>
  <r>
    <x v="163"/>
    <x v="0"/>
  </r>
  <r>
    <x v="164"/>
    <x v="0"/>
  </r>
  <r>
    <x v="165"/>
    <x v="0"/>
  </r>
  <r>
    <x v="166"/>
    <x v="0"/>
  </r>
  <r>
    <x v="167"/>
    <x v="0"/>
  </r>
  <r>
    <x v="168"/>
    <x v="0"/>
  </r>
  <r>
    <x v="169"/>
    <x v="0"/>
  </r>
  <r>
    <x v="170"/>
    <x v="0"/>
  </r>
  <r>
    <x v="171"/>
    <x v="0"/>
  </r>
  <r>
    <x v="172"/>
    <x v="0"/>
  </r>
  <r>
    <x v="173"/>
    <x v="0"/>
  </r>
  <r>
    <x v="174"/>
    <x v="0"/>
  </r>
  <r>
    <x v="175"/>
    <x v="0"/>
  </r>
  <r>
    <x v="176"/>
    <x v="0"/>
  </r>
  <r>
    <x v="177"/>
    <x v="0"/>
  </r>
  <r>
    <x v="178"/>
    <x v="0"/>
  </r>
  <r>
    <x v="179"/>
    <x v="0"/>
  </r>
  <r>
    <x v="180"/>
    <x v="0"/>
  </r>
  <r>
    <x v="181"/>
    <x v="0"/>
  </r>
  <r>
    <x v="182"/>
    <x v="0"/>
  </r>
  <r>
    <x v="183"/>
    <x v="0"/>
  </r>
  <r>
    <x v="184"/>
    <x v="0"/>
  </r>
  <r>
    <x v="185"/>
    <x v="0"/>
  </r>
  <r>
    <x v="186"/>
    <x v="0"/>
  </r>
  <r>
    <x v="187"/>
    <x v="0"/>
  </r>
  <r>
    <x v="188"/>
    <x v="0"/>
  </r>
  <r>
    <x v="189"/>
    <x v="0"/>
  </r>
  <r>
    <x v="190"/>
    <x v="0"/>
  </r>
  <r>
    <x v="191"/>
    <x v="0"/>
  </r>
  <r>
    <x v="192"/>
    <x v="0"/>
  </r>
  <r>
    <x v="193"/>
    <x v="0"/>
  </r>
  <r>
    <x v="194"/>
    <x v="0"/>
  </r>
  <r>
    <x v="195"/>
    <x v="0"/>
  </r>
  <r>
    <x v="196"/>
    <x v="0"/>
  </r>
  <r>
    <x v="197"/>
    <x v="0"/>
  </r>
  <r>
    <x v="198"/>
    <x v="0"/>
  </r>
  <r>
    <x v="199"/>
    <x v="0"/>
  </r>
  <r>
    <x v="200"/>
    <x v="0"/>
  </r>
  <r>
    <x v="201"/>
    <x v="0"/>
  </r>
  <r>
    <x v="202"/>
    <x v="0"/>
  </r>
  <r>
    <x v="203"/>
    <x v="0"/>
  </r>
  <r>
    <x v="204"/>
    <x v="0"/>
  </r>
  <r>
    <x v="205"/>
    <x v="0"/>
  </r>
  <r>
    <x v="206"/>
    <x v="0"/>
  </r>
  <r>
    <x v="207"/>
    <x v="0"/>
  </r>
  <r>
    <x v="208"/>
    <x v="0"/>
  </r>
  <r>
    <x v="209"/>
    <x v="0"/>
  </r>
  <r>
    <x v="210"/>
    <x v="0"/>
  </r>
  <r>
    <x v="211"/>
    <x v="0"/>
  </r>
  <r>
    <x v="212"/>
    <x v="0"/>
  </r>
  <r>
    <x v="213"/>
    <x v="0"/>
  </r>
  <r>
    <x v="214"/>
    <x v="0"/>
  </r>
  <r>
    <x v="215"/>
    <x v="0"/>
  </r>
  <r>
    <x v="216"/>
    <x v="0"/>
  </r>
  <r>
    <x v="217"/>
    <x v="0"/>
  </r>
  <r>
    <x v="218"/>
    <x v="0"/>
  </r>
  <r>
    <x v="219"/>
    <x v="0"/>
  </r>
  <r>
    <x v="220"/>
    <x v="0"/>
  </r>
  <r>
    <x v="221"/>
    <x v="0"/>
  </r>
  <r>
    <x v="222"/>
    <x v="0"/>
  </r>
  <r>
    <x v="223"/>
    <x v="0"/>
  </r>
  <r>
    <x v="224"/>
    <x v="0"/>
  </r>
  <r>
    <x v="225"/>
    <x v="0"/>
  </r>
  <r>
    <x v="226"/>
    <x v="0"/>
  </r>
  <r>
    <x v="227"/>
    <x v="0"/>
  </r>
  <r>
    <x v="228"/>
    <x v="0"/>
  </r>
  <r>
    <x v="229"/>
    <x v="0"/>
  </r>
  <r>
    <x v="230"/>
    <x v="0"/>
  </r>
  <r>
    <x v="231"/>
    <x v="0"/>
  </r>
  <r>
    <x v="232"/>
    <x v="0"/>
  </r>
  <r>
    <x v="233"/>
    <x v="0"/>
  </r>
  <r>
    <x v="234"/>
    <x v="0"/>
  </r>
  <r>
    <x v="235"/>
    <x v="0"/>
  </r>
  <r>
    <x v="236"/>
    <x v="0"/>
  </r>
  <r>
    <x v="237"/>
    <x v="0"/>
  </r>
  <r>
    <x v="238"/>
    <x v="0"/>
  </r>
  <r>
    <x v="239"/>
    <x v="0"/>
  </r>
  <r>
    <x v="240"/>
    <x v="0"/>
  </r>
  <r>
    <x v="241"/>
    <x v="0"/>
  </r>
  <r>
    <x v="242"/>
    <x v="0"/>
  </r>
  <r>
    <x v="243"/>
    <x v="0"/>
  </r>
  <r>
    <x v="244"/>
    <x v="0"/>
  </r>
  <r>
    <x v="245"/>
    <x v="0"/>
  </r>
  <r>
    <x v="246"/>
    <x v="0"/>
  </r>
  <r>
    <x v="247"/>
    <x v="0"/>
  </r>
  <r>
    <x v="248"/>
    <x v="0"/>
  </r>
  <r>
    <x v="249"/>
    <x v="0"/>
  </r>
  <r>
    <x v="250"/>
    <x v="0"/>
  </r>
  <r>
    <x v="251"/>
    <x v="0"/>
  </r>
  <r>
    <x v="252"/>
    <x v="0"/>
  </r>
  <r>
    <x v="253"/>
    <x v="0"/>
  </r>
  <r>
    <x v="254"/>
    <x v="0"/>
  </r>
  <r>
    <x v="255"/>
    <x v="0"/>
  </r>
  <r>
    <x v="256"/>
    <x v="0"/>
  </r>
  <r>
    <x v="257"/>
    <x v="0"/>
  </r>
  <r>
    <x v="258"/>
    <x v="0"/>
  </r>
  <r>
    <x v="259"/>
    <x v="0"/>
  </r>
  <r>
    <x v="260"/>
    <x v="0"/>
  </r>
  <r>
    <x v="261"/>
    <x v="0"/>
  </r>
  <r>
    <x v="262"/>
    <x v="0"/>
  </r>
  <r>
    <x v="263"/>
    <x v="0"/>
  </r>
  <r>
    <x v="264"/>
    <x v="0"/>
  </r>
  <r>
    <x v="265"/>
    <x v="0"/>
  </r>
  <r>
    <x v="266"/>
    <x v="0"/>
  </r>
  <r>
    <x v="267"/>
    <x v="0"/>
  </r>
  <r>
    <x v="268"/>
    <x v="0"/>
  </r>
  <r>
    <x v="269"/>
    <x v="0"/>
  </r>
  <r>
    <x v="270"/>
    <x v="0"/>
  </r>
  <r>
    <x v="271"/>
    <x v="0"/>
  </r>
  <r>
    <x v="272"/>
    <x v="0"/>
  </r>
  <r>
    <x v="273"/>
    <x v="0"/>
  </r>
  <r>
    <x v="274"/>
    <x v="0"/>
  </r>
  <r>
    <x v="275"/>
    <x v="0"/>
  </r>
  <r>
    <x v="276"/>
    <x v="0"/>
  </r>
  <r>
    <x v="277"/>
    <x v="0"/>
  </r>
  <r>
    <x v="278"/>
    <x v="0"/>
  </r>
  <r>
    <x v="279"/>
    <x v="0"/>
  </r>
  <r>
    <x v="280"/>
    <x v="0"/>
  </r>
  <r>
    <x v="281"/>
    <x v="0"/>
  </r>
  <r>
    <x v="282"/>
    <x v="0"/>
  </r>
  <r>
    <x v="283"/>
    <x v="0"/>
  </r>
  <r>
    <x v="284"/>
    <x v="0"/>
  </r>
  <r>
    <x v="285"/>
    <x v="0"/>
  </r>
  <r>
    <x v="286"/>
    <x v="0"/>
  </r>
  <r>
    <x v="287"/>
    <x v="0"/>
  </r>
  <r>
    <x v="288"/>
    <x v="0"/>
  </r>
  <r>
    <x v="289"/>
    <x v="0"/>
  </r>
  <r>
    <x v="290"/>
    <x v="0"/>
  </r>
  <r>
    <x v="291"/>
    <x v="0"/>
  </r>
  <r>
    <x v="292"/>
    <x v="0"/>
  </r>
  <r>
    <x v="293"/>
    <x v="0"/>
  </r>
  <r>
    <x v="294"/>
    <x v="0"/>
  </r>
  <r>
    <x v="295"/>
    <x v="0"/>
  </r>
  <r>
    <x v="296"/>
    <x v="0"/>
  </r>
  <r>
    <x v="297"/>
    <x v="0"/>
  </r>
  <r>
    <x v="298"/>
    <x v="0"/>
  </r>
  <r>
    <x v="299"/>
    <x v="0"/>
  </r>
  <r>
    <x v="300"/>
    <x v="0"/>
  </r>
  <r>
    <x v="301"/>
    <x v="0"/>
  </r>
  <r>
    <x v="302"/>
    <x v="0"/>
  </r>
  <r>
    <x v="303"/>
    <x v="0"/>
  </r>
  <r>
    <x v="304"/>
    <x v="0"/>
  </r>
  <r>
    <x v="305"/>
    <x v="0"/>
  </r>
  <r>
    <x v="306"/>
    <x v="0"/>
  </r>
  <r>
    <x v="307"/>
    <x v="0"/>
  </r>
  <r>
    <x v="308"/>
    <x v="0"/>
  </r>
  <r>
    <x v="309"/>
    <x v="0"/>
  </r>
  <r>
    <x v="310"/>
    <x v="0"/>
  </r>
  <r>
    <x v="311"/>
    <x v="0"/>
  </r>
  <r>
    <x v="312"/>
    <x v="0"/>
  </r>
  <r>
    <x v="313"/>
    <x v="0"/>
  </r>
  <r>
    <x v="314"/>
    <x v="0"/>
  </r>
  <r>
    <x v="315"/>
    <x v="0"/>
  </r>
  <r>
    <x v="316"/>
    <x v="0"/>
  </r>
  <r>
    <x v="317"/>
    <x v="0"/>
  </r>
  <r>
    <x v="318"/>
    <x v="0"/>
  </r>
  <r>
    <x v="319"/>
    <x v="0"/>
  </r>
  <r>
    <x v="320"/>
    <x v="0"/>
  </r>
  <r>
    <x v="321"/>
    <x v="0"/>
  </r>
  <r>
    <x v="322"/>
    <x v="0"/>
  </r>
  <r>
    <x v="323"/>
    <x v="0"/>
  </r>
  <r>
    <x v="324"/>
    <x v="0"/>
  </r>
  <r>
    <x v="325"/>
    <x v="0"/>
  </r>
  <r>
    <x v="326"/>
    <x v="0"/>
  </r>
  <r>
    <x v="327"/>
    <x v="0"/>
  </r>
  <r>
    <x v="328"/>
    <x v="0"/>
  </r>
  <r>
    <x v="329"/>
    <x v="0"/>
  </r>
  <r>
    <x v="330"/>
    <x v="0"/>
  </r>
  <r>
    <x v="331"/>
    <x v="0"/>
  </r>
  <r>
    <x v="332"/>
    <x v="0"/>
  </r>
  <r>
    <x v="333"/>
    <x v="0"/>
  </r>
  <r>
    <x v="334"/>
    <x v="0"/>
  </r>
  <r>
    <x v="335"/>
    <x v="0"/>
  </r>
  <r>
    <x v="336"/>
    <x v="0"/>
  </r>
  <r>
    <x v="337"/>
    <x v="0"/>
  </r>
  <r>
    <x v="338"/>
    <x v="0"/>
  </r>
  <r>
    <x v="339"/>
    <x v="0"/>
  </r>
  <r>
    <x v="340"/>
    <x v="0"/>
  </r>
  <r>
    <x v="341"/>
    <x v="0"/>
  </r>
  <r>
    <x v="342"/>
    <x v="0"/>
  </r>
  <r>
    <x v="343"/>
    <x v="0"/>
  </r>
  <r>
    <x v="344"/>
    <x v="0"/>
  </r>
  <r>
    <x v="345"/>
    <x v="0"/>
  </r>
  <r>
    <x v="346"/>
    <x v="0"/>
  </r>
  <r>
    <x v="347"/>
    <x v="0"/>
  </r>
  <r>
    <x v="348"/>
    <x v="0"/>
  </r>
  <r>
    <x v="349"/>
    <x v="0"/>
  </r>
  <r>
    <x v="350"/>
    <x v="0"/>
  </r>
  <r>
    <x v="351"/>
    <x v="0"/>
  </r>
  <r>
    <x v="352"/>
    <x v="0"/>
  </r>
  <r>
    <x v="353"/>
    <x v="0"/>
  </r>
  <r>
    <x v="354"/>
    <x v="0"/>
  </r>
  <r>
    <x v="355"/>
    <x v="0"/>
  </r>
  <r>
    <x v="356"/>
    <x v="0"/>
  </r>
  <r>
    <x v="357"/>
    <x v="0"/>
  </r>
  <r>
    <x v="358"/>
    <x v="0"/>
  </r>
  <r>
    <x v="359"/>
    <x v="0"/>
  </r>
  <r>
    <x v="360"/>
    <x v="0"/>
  </r>
  <r>
    <x v="361"/>
    <x v="0"/>
  </r>
  <r>
    <x v="362"/>
    <x v="0"/>
  </r>
  <r>
    <x v="363"/>
    <x v="0"/>
  </r>
  <r>
    <x v="364"/>
    <x v="0"/>
  </r>
  <r>
    <x v="365"/>
    <x v="0"/>
  </r>
  <r>
    <x v="366"/>
    <x v="0"/>
  </r>
  <r>
    <x v="367"/>
    <x v="0"/>
  </r>
  <r>
    <x v="368"/>
    <x v="0"/>
  </r>
  <r>
    <x v="369"/>
    <x v="0"/>
  </r>
  <r>
    <x v="370"/>
    <x v="0"/>
  </r>
  <r>
    <x v="371"/>
    <x v="0"/>
  </r>
  <r>
    <x v="372"/>
    <x v="0"/>
  </r>
  <r>
    <x v="373"/>
    <x v="0"/>
  </r>
  <r>
    <x v="374"/>
    <x v="0"/>
  </r>
  <r>
    <x v="375"/>
    <x v="0"/>
  </r>
  <r>
    <x v="376"/>
    <x v="0"/>
  </r>
  <r>
    <x v="377"/>
    <x v="0"/>
  </r>
  <r>
    <x v="378"/>
    <x v="0"/>
  </r>
  <r>
    <x v="379"/>
    <x v="0"/>
  </r>
  <r>
    <x v="380"/>
    <x v="0"/>
  </r>
  <r>
    <x v="381"/>
    <x v="0"/>
  </r>
  <r>
    <x v="382"/>
    <x v="0"/>
  </r>
  <r>
    <x v="383"/>
    <x v="0"/>
  </r>
  <r>
    <x v="384"/>
    <x v="0"/>
  </r>
  <r>
    <x v="385"/>
    <x v="0"/>
  </r>
  <r>
    <x v="386"/>
    <x v="0"/>
  </r>
  <r>
    <x v="387"/>
    <x v="0"/>
  </r>
  <r>
    <x v="388"/>
    <x v="0"/>
  </r>
  <r>
    <x v="389"/>
    <x v="0"/>
  </r>
  <r>
    <x v="390"/>
    <x v="0"/>
  </r>
  <r>
    <x v="391"/>
    <x v="0"/>
  </r>
  <r>
    <x v="392"/>
    <x v="0"/>
  </r>
  <r>
    <x v="393"/>
    <x v="0"/>
  </r>
  <r>
    <x v="394"/>
    <x v="0"/>
  </r>
  <r>
    <x v="395"/>
    <x v="0"/>
  </r>
  <r>
    <x v="396"/>
    <x v="0"/>
  </r>
  <r>
    <x v="397"/>
    <x v="0"/>
  </r>
  <r>
    <x v="398"/>
    <x v="0"/>
  </r>
  <r>
    <x v="399"/>
    <x v="0"/>
  </r>
  <r>
    <x v="400"/>
    <x v="0"/>
  </r>
  <r>
    <x v="401"/>
    <x v="0"/>
  </r>
  <r>
    <x v="402"/>
    <x v="0"/>
  </r>
  <r>
    <x v="403"/>
    <x v="0"/>
  </r>
  <r>
    <x v="404"/>
    <x v="0"/>
  </r>
  <r>
    <x v="405"/>
    <x v="0"/>
  </r>
  <r>
    <x v="406"/>
    <x v="0"/>
  </r>
  <r>
    <x v="407"/>
    <x v="0"/>
  </r>
  <r>
    <x v="408"/>
    <x v="0"/>
  </r>
  <r>
    <x v="409"/>
    <x v="0"/>
  </r>
  <r>
    <x v="410"/>
    <x v="0"/>
  </r>
  <r>
    <x v="411"/>
    <x v="0"/>
  </r>
  <r>
    <x v="412"/>
    <x v="0"/>
  </r>
  <r>
    <x v="413"/>
    <x v="0"/>
  </r>
  <r>
    <x v="414"/>
    <x v="0"/>
  </r>
  <r>
    <x v="415"/>
    <x v="0"/>
  </r>
  <r>
    <x v="416"/>
    <x v="0"/>
  </r>
  <r>
    <x v="417"/>
    <x v="0"/>
  </r>
  <r>
    <x v="418"/>
    <x v="0"/>
  </r>
  <r>
    <x v="419"/>
    <x v="0"/>
  </r>
  <r>
    <x v="420"/>
    <x v="0"/>
  </r>
  <r>
    <x v="421"/>
    <x v="0"/>
  </r>
  <r>
    <x v="422"/>
    <x v="0"/>
  </r>
  <r>
    <x v="423"/>
    <x v="0"/>
  </r>
  <r>
    <x v="424"/>
    <x v="0"/>
  </r>
  <r>
    <x v="425"/>
    <x v="0"/>
  </r>
  <r>
    <x v="426"/>
    <x v="0"/>
  </r>
  <r>
    <x v="427"/>
    <x v="0"/>
  </r>
  <r>
    <x v="428"/>
    <x v="0"/>
  </r>
  <r>
    <x v="429"/>
    <x v="0"/>
  </r>
  <r>
    <x v="430"/>
    <x v="0"/>
  </r>
  <r>
    <x v="431"/>
    <x v="0"/>
  </r>
  <r>
    <x v="432"/>
    <x v="0"/>
  </r>
  <r>
    <x v="433"/>
    <x v="0"/>
  </r>
  <r>
    <x v="434"/>
    <x v="0"/>
  </r>
  <r>
    <x v="435"/>
    <x v="0"/>
  </r>
  <r>
    <x v="436"/>
    <x v="0"/>
  </r>
  <r>
    <x v="437"/>
    <x v="0"/>
  </r>
  <r>
    <x v="438"/>
    <x v="0"/>
  </r>
  <r>
    <x v="439"/>
    <x v="0"/>
  </r>
  <r>
    <x v="440"/>
    <x v="0"/>
  </r>
  <r>
    <x v="441"/>
    <x v="0"/>
  </r>
  <r>
    <x v="442"/>
    <x v="0"/>
  </r>
  <r>
    <x v="443"/>
    <x v="0"/>
  </r>
  <r>
    <x v="444"/>
    <x v="0"/>
  </r>
  <r>
    <x v="445"/>
    <x v="0"/>
  </r>
  <r>
    <x v="446"/>
    <x v="0"/>
  </r>
  <r>
    <x v="447"/>
    <x v="0"/>
  </r>
  <r>
    <x v="448"/>
    <x v="0"/>
  </r>
  <r>
    <x v="449"/>
    <x v="0"/>
  </r>
  <r>
    <x v="450"/>
    <x v="0"/>
  </r>
  <r>
    <x v="451"/>
    <x v="0"/>
  </r>
  <r>
    <x v="452"/>
    <x v="0"/>
  </r>
  <r>
    <x v="453"/>
    <x v="0"/>
  </r>
  <r>
    <x v="454"/>
    <x v="0"/>
  </r>
  <r>
    <x v="455"/>
    <x v="0"/>
  </r>
  <r>
    <x v="456"/>
    <x v="0"/>
  </r>
  <r>
    <x v="457"/>
    <x v="0"/>
  </r>
  <r>
    <x v="458"/>
    <x v="0"/>
  </r>
  <r>
    <x v="459"/>
    <x v="0"/>
  </r>
  <r>
    <x v="460"/>
    <x v="0"/>
  </r>
  <r>
    <x v="461"/>
    <x v="0"/>
  </r>
  <r>
    <x v="462"/>
    <x v="0"/>
  </r>
  <r>
    <x v="463"/>
    <x v="0"/>
  </r>
  <r>
    <x v="464"/>
    <x v="0"/>
  </r>
  <r>
    <x v="465"/>
    <x v="0"/>
  </r>
  <r>
    <x v="466"/>
    <x v="0"/>
  </r>
  <r>
    <x v="467"/>
    <x v="0"/>
  </r>
  <r>
    <x v="468"/>
    <x v="0"/>
  </r>
  <r>
    <x v="469"/>
    <x v="0"/>
  </r>
  <r>
    <x v="470"/>
    <x v="0"/>
  </r>
  <r>
    <x v="471"/>
    <x v="0"/>
  </r>
  <r>
    <x v="472"/>
    <x v="0"/>
  </r>
  <r>
    <x v="473"/>
    <x v="0"/>
  </r>
  <r>
    <x v="474"/>
    <x v="0"/>
  </r>
  <r>
    <x v="475"/>
    <x v="0"/>
  </r>
  <r>
    <x v="476"/>
    <x v="0"/>
  </r>
  <r>
    <x v="477"/>
    <x v="0"/>
  </r>
  <r>
    <x v="478"/>
    <x v="0"/>
  </r>
  <r>
    <x v="479"/>
    <x v="0"/>
  </r>
  <r>
    <x v="480"/>
    <x v="0"/>
  </r>
  <r>
    <x v="481"/>
    <x v="0"/>
  </r>
  <r>
    <x v="482"/>
    <x v="0"/>
  </r>
  <r>
    <x v="483"/>
    <x v="0"/>
  </r>
  <r>
    <x v="484"/>
    <x v="0"/>
  </r>
  <r>
    <x v="485"/>
    <x v="0"/>
  </r>
  <r>
    <x v="486"/>
    <x v="0"/>
  </r>
  <r>
    <x v="487"/>
    <x v="0"/>
  </r>
  <r>
    <x v="488"/>
    <x v="0"/>
  </r>
  <r>
    <x v="489"/>
    <x v="0"/>
  </r>
  <r>
    <x v="490"/>
    <x v="0"/>
  </r>
  <r>
    <x v="491"/>
    <x v="0"/>
  </r>
  <r>
    <x v="492"/>
    <x v="0"/>
  </r>
  <r>
    <x v="493"/>
    <x v="0"/>
  </r>
  <r>
    <x v="494"/>
    <x v="0"/>
  </r>
  <r>
    <x v="495"/>
    <x v="0"/>
  </r>
  <r>
    <x v="496"/>
    <x v="0"/>
  </r>
  <r>
    <x v="497"/>
    <x v="0"/>
  </r>
  <r>
    <x v="498"/>
    <x v="0"/>
  </r>
  <r>
    <x v="499"/>
    <x v="0"/>
  </r>
  <r>
    <x v="500"/>
    <x v="0"/>
  </r>
  <r>
    <x v="501"/>
    <x v="0"/>
  </r>
  <r>
    <x v="502"/>
    <x v="0"/>
  </r>
  <r>
    <x v="503"/>
    <x v="0"/>
  </r>
  <r>
    <x v="504"/>
    <x v="0"/>
  </r>
  <r>
    <x v="505"/>
    <x v="0"/>
  </r>
  <r>
    <x v="506"/>
    <x v="0"/>
  </r>
  <r>
    <x v="507"/>
    <x v="0"/>
  </r>
  <r>
    <x v="508"/>
    <x v="0"/>
  </r>
  <r>
    <x v="509"/>
    <x v="0"/>
  </r>
  <r>
    <x v="510"/>
    <x v="0"/>
  </r>
  <r>
    <x v="511"/>
    <x v="0"/>
  </r>
  <r>
    <x v="512"/>
    <x v="0"/>
  </r>
  <r>
    <x v="513"/>
    <x v="0"/>
  </r>
  <r>
    <x v="514"/>
    <x v="0"/>
  </r>
  <r>
    <x v="515"/>
    <x v="0"/>
  </r>
  <r>
    <x v="516"/>
    <x v="0"/>
  </r>
  <r>
    <x v="517"/>
    <x v="0"/>
  </r>
  <r>
    <x v="518"/>
    <x v="0"/>
  </r>
  <r>
    <x v="519"/>
    <x v="0"/>
  </r>
  <r>
    <x v="520"/>
    <x v="0"/>
  </r>
  <r>
    <x v="521"/>
    <x v="0"/>
  </r>
  <r>
    <x v="522"/>
    <x v="0"/>
  </r>
  <r>
    <x v="523"/>
    <x v="0"/>
  </r>
  <r>
    <x v="524"/>
    <x v="0"/>
  </r>
  <r>
    <x v="525"/>
    <x v="0"/>
  </r>
  <r>
    <x v="526"/>
    <x v="0"/>
  </r>
  <r>
    <x v="527"/>
    <x v="0"/>
  </r>
  <r>
    <x v="528"/>
    <x v="0"/>
  </r>
  <r>
    <x v="529"/>
    <x v="0"/>
  </r>
  <r>
    <x v="530"/>
    <x v="0"/>
  </r>
  <r>
    <x v="531"/>
    <x v="0"/>
  </r>
  <r>
    <x v="532"/>
    <x v="0"/>
  </r>
  <r>
    <x v="533"/>
    <x v="0"/>
  </r>
  <r>
    <x v="534"/>
    <x v="0"/>
  </r>
  <r>
    <x v="535"/>
    <x v="0"/>
  </r>
  <r>
    <x v="536"/>
    <x v="0"/>
  </r>
  <r>
    <x v="537"/>
    <x v="0"/>
  </r>
  <r>
    <x v="538"/>
    <x v="0"/>
  </r>
  <r>
    <x v="539"/>
    <x v="0"/>
  </r>
  <r>
    <x v="540"/>
    <x v="0"/>
  </r>
  <r>
    <x v="541"/>
    <x v="0"/>
  </r>
  <r>
    <x v="542"/>
    <x v="0"/>
  </r>
  <r>
    <x v="543"/>
    <x v="0"/>
  </r>
  <r>
    <x v="544"/>
    <x v="0"/>
  </r>
  <r>
    <x v="545"/>
    <x v="0"/>
  </r>
  <r>
    <x v="546"/>
    <x v="0"/>
  </r>
  <r>
    <x v="547"/>
    <x v="0"/>
  </r>
  <r>
    <x v="548"/>
    <x v="0"/>
  </r>
  <r>
    <x v="549"/>
    <x v="0"/>
  </r>
  <r>
    <x v="550"/>
    <x v="0"/>
  </r>
  <r>
    <x v="551"/>
    <x v="0"/>
  </r>
  <r>
    <x v="552"/>
    <x v="0"/>
  </r>
  <r>
    <x v="553"/>
    <x v="0"/>
  </r>
  <r>
    <x v="554"/>
    <x v="0"/>
  </r>
  <r>
    <x v="555"/>
    <x v="0"/>
  </r>
  <r>
    <x v="556"/>
    <x v="0"/>
  </r>
  <r>
    <x v="557"/>
    <x v="0"/>
  </r>
  <r>
    <x v="558"/>
    <x v="0"/>
  </r>
  <r>
    <x v="559"/>
    <x v="0"/>
  </r>
  <r>
    <x v="560"/>
    <x v="0"/>
  </r>
  <r>
    <x v="561"/>
    <x v="0"/>
  </r>
  <r>
    <x v="562"/>
    <x v="0"/>
  </r>
  <r>
    <x v="563"/>
    <x v="0"/>
  </r>
  <r>
    <x v="564"/>
    <x v="0"/>
  </r>
  <r>
    <x v="565"/>
    <x v="0"/>
  </r>
  <r>
    <x v="566"/>
    <x v="0"/>
  </r>
  <r>
    <x v="567"/>
    <x v="0"/>
  </r>
  <r>
    <x v="568"/>
    <x v="0"/>
  </r>
  <r>
    <x v="569"/>
    <x v="0"/>
  </r>
  <r>
    <x v="570"/>
    <x v="0"/>
  </r>
  <r>
    <x v="571"/>
    <x v="0"/>
  </r>
  <r>
    <x v="572"/>
    <x v="0"/>
  </r>
  <r>
    <x v="573"/>
    <x v="0"/>
  </r>
  <r>
    <x v="574"/>
    <x v="0"/>
  </r>
  <r>
    <x v="575"/>
    <x v="0"/>
  </r>
  <r>
    <x v="576"/>
    <x v="0"/>
  </r>
  <r>
    <x v="577"/>
    <x v="0"/>
  </r>
  <r>
    <x v="578"/>
    <x v="0"/>
  </r>
  <r>
    <x v="579"/>
    <x v="0"/>
  </r>
  <r>
    <x v="580"/>
    <x v="0"/>
  </r>
  <r>
    <x v="581"/>
    <x v="0"/>
  </r>
  <r>
    <x v="582"/>
    <x v="0"/>
  </r>
  <r>
    <x v="583"/>
    <x v="0"/>
  </r>
  <r>
    <x v="584"/>
    <x v="0"/>
  </r>
  <r>
    <x v="585"/>
    <x v="0"/>
  </r>
  <r>
    <x v="586"/>
    <x v="0"/>
  </r>
  <r>
    <x v="587"/>
    <x v="0"/>
  </r>
  <r>
    <x v="588"/>
    <x v="0"/>
  </r>
  <r>
    <x v="589"/>
    <x v="0"/>
  </r>
  <r>
    <x v="590"/>
    <x v="0"/>
  </r>
  <r>
    <x v="591"/>
    <x v="0"/>
  </r>
  <r>
    <x v="592"/>
    <x v="0"/>
  </r>
  <r>
    <x v="593"/>
    <x v="0"/>
  </r>
  <r>
    <x v="594"/>
    <x v="0"/>
  </r>
  <r>
    <x v="595"/>
    <x v="0"/>
  </r>
  <r>
    <x v="596"/>
    <x v="0"/>
  </r>
  <r>
    <x v="597"/>
    <x v="0"/>
  </r>
  <r>
    <x v="598"/>
    <x v="0"/>
  </r>
  <r>
    <x v="599"/>
    <x v="0"/>
  </r>
  <r>
    <x v="600"/>
    <x v="0"/>
  </r>
  <r>
    <x v="601"/>
    <x v="0"/>
  </r>
  <r>
    <x v="602"/>
    <x v="0"/>
  </r>
  <r>
    <x v="603"/>
    <x v="0"/>
  </r>
  <r>
    <x v="604"/>
    <x v="0"/>
  </r>
  <r>
    <x v="605"/>
    <x v="0"/>
  </r>
  <r>
    <x v="606"/>
    <x v="0"/>
  </r>
  <r>
    <x v="607"/>
    <x v="0"/>
  </r>
  <r>
    <x v="608"/>
    <x v="0"/>
  </r>
  <r>
    <x v="609"/>
    <x v="0"/>
  </r>
  <r>
    <x v="610"/>
    <x v="0"/>
  </r>
  <r>
    <x v="611"/>
    <x v="0"/>
  </r>
  <r>
    <x v="612"/>
    <x v="0"/>
  </r>
  <r>
    <x v="613"/>
    <x v="0"/>
  </r>
  <r>
    <x v="614"/>
    <x v="0"/>
  </r>
  <r>
    <x v="615"/>
    <x v="0"/>
  </r>
  <r>
    <x v="616"/>
    <x v="0"/>
  </r>
  <r>
    <x v="617"/>
    <x v="0"/>
  </r>
  <r>
    <x v="618"/>
    <x v="0"/>
  </r>
  <r>
    <x v="619"/>
    <x v="0"/>
  </r>
  <r>
    <x v="620"/>
    <x v="0"/>
  </r>
  <r>
    <x v="621"/>
    <x v="0"/>
  </r>
  <r>
    <x v="622"/>
    <x v="0"/>
  </r>
  <r>
    <x v="623"/>
    <x v="0"/>
  </r>
  <r>
    <x v="624"/>
    <x v="0"/>
  </r>
  <r>
    <x v="625"/>
    <x v="0"/>
  </r>
  <r>
    <x v="626"/>
    <x v="0"/>
  </r>
  <r>
    <x v="627"/>
    <x v="0"/>
  </r>
  <r>
    <x v="628"/>
    <x v="0"/>
  </r>
  <r>
    <x v="629"/>
    <x v="0"/>
  </r>
  <r>
    <x v="630"/>
    <x v="0"/>
  </r>
  <r>
    <x v="631"/>
    <x v="0"/>
  </r>
  <r>
    <x v="632"/>
    <x v="0"/>
  </r>
  <r>
    <x v="633"/>
    <x v="0"/>
  </r>
  <r>
    <x v="634"/>
    <x v="0"/>
  </r>
  <r>
    <x v="635"/>
    <x v="0"/>
  </r>
  <r>
    <x v="636"/>
    <x v="0"/>
  </r>
  <r>
    <x v="637"/>
    <x v="1"/>
  </r>
  <r>
    <x v="638"/>
    <x v="1"/>
  </r>
  <r>
    <x v="639"/>
    <x v="2"/>
  </r>
  <r>
    <x v="640"/>
    <x v="2"/>
  </r>
  <r>
    <x v="641"/>
    <x v="3"/>
  </r>
  <r>
    <x v="642"/>
    <x v="3"/>
  </r>
  <r>
    <x v="643"/>
    <x v="3"/>
  </r>
  <r>
    <x v="644"/>
    <x v="3"/>
  </r>
  <r>
    <x v="645"/>
    <x v="3"/>
  </r>
  <r>
    <x v="646"/>
    <x v="3"/>
  </r>
  <r>
    <x v="647"/>
    <x v="3"/>
  </r>
  <r>
    <x v="648"/>
    <x v="3"/>
  </r>
  <r>
    <x v="649"/>
    <x v="3"/>
  </r>
  <r>
    <x v="650"/>
    <x v="3"/>
  </r>
  <r>
    <x v="651"/>
    <x v="3"/>
  </r>
  <r>
    <x v="652"/>
    <x v="4"/>
  </r>
  <r>
    <x v="653"/>
    <x v="1"/>
  </r>
  <r>
    <x v="654"/>
    <x v="4"/>
  </r>
  <r>
    <x v="655"/>
    <x v="4"/>
  </r>
  <r>
    <x v="656"/>
    <x v="4"/>
  </r>
  <r>
    <x v="657"/>
    <x v="0"/>
  </r>
  <r>
    <x v="658"/>
    <x v="0"/>
  </r>
  <r>
    <x v="659"/>
    <x v="0"/>
  </r>
  <r>
    <x v="660"/>
    <x v="0"/>
  </r>
  <r>
    <x v="661"/>
    <x v="0"/>
  </r>
  <r>
    <x v="662"/>
    <x v="0"/>
  </r>
  <r>
    <x v="663"/>
    <x v="0"/>
  </r>
  <r>
    <x v="664"/>
    <x v="0"/>
  </r>
  <r>
    <x v="665"/>
    <x v="0"/>
  </r>
  <r>
    <x v="666"/>
    <x v="0"/>
  </r>
  <r>
    <x v="667"/>
    <x v="0"/>
  </r>
  <r>
    <x v="668"/>
    <x v="0"/>
  </r>
  <r>
    <x v="669"/>
    <x v="0"/>
  </r>
  <r>
    <x v="670"/>
    <x v="0"/>
  </r>
  <r>
    <x v="671"/>
    <x v="0"/>
  </r>
  <r>
    <x v="672"/>
    <x v="0"/>
  </r>
  <r>
    <x v="673"/>
    <x v="0"/>
  </r>
  <r>
    <x v="674"/>
    <x v="0"/>
  </r>
  <r>
    <x v="675"/>
    <x v="0"/>
  </r>
  <r>
    <x v="676"/>
    <x v="0"/>
  </r>
  <r>
    <x v="677"/>
    <x v="0"/>
  </r>
  <r>
    <x v="678"/>
    <x v="0"/>
  </r>
  <r>
    <x v="679"/>
    <x v="0"/>
  </r>
  <r>
    <x v="680"/>
    <x v="0"/>
  </r>
  <r>
    <x v="681"/>
    <x v="0"/>
  </r>
  <r>
    <x v="682"/>
    <x v="0"/>
  </r>
  <r>
    <x v="683"/>
    <x v="0"/>
  </r>
  <r>
    <x v="684"/>
    <x v="0"/>
  </r>
  <r>
    <x v="685"/>
    <x v="0"/>
  </r>
  <r>
    <x v="686"/>
    <x v="0"/>
  </r>
  <r>
    <x v="687"/>
    <x v="0"/>
  </r>
  <r>
    <x v="688"/>
    <x v="0"/>
  </r>
  <r>
    <x v="689"/>
    <x v="0"/>
  </r>
  <r>
    <x v="690"/>
    <x v="0"/>
  </r>
  <r>
    <x v="691"/>
    <x v="0"/>
  </r>
  <r>
    <x v="692"/>
    <x v="0"/>
  </r>
  <r>
    <x v="693"/>
    <x v="0"/>
  </r>
  <r>
    <x v="694"/>
    <x v="0"/>
  </r>
  <r>
    <x v="695"/>
    <x v="0"/>
  </r>
  <r>
    <x v="696"/>
    <x v="0"/>
  </r>
  <r>
    <x v="697"/>
    <x v="0"/>
  </r>
  <r>
    <x v="698"/>
    <x v="0"/>
  </r>
  <r>
    <x v="699"/>
    <x v="0"/>
  </r>
  <r>
    <x v="700"/>
    <x v="0"/>
  </r>
  <r>
    <x v="701"/>
    <x v="0"/>
  </r>
  <r>
    <x v="702"/>
    <x v="0"/>
  </r>
  <r>
    <x v="703"/>
    <x v="0"/>
  </r>
  <r>
    <x v="704"/>
    <x v="0"/>
  </r>
  <r>
    <x v="705"/>
    <x v="0"/>
  </r>
  <r>
    <x v="706"/>
    <x v="0"/>
  </r>
  <r>
    <x v="707"/>
    <x v="0"/>
  </r>
  <r>
    <x v="708"/>
    <x v="0"/>
  </r>
  <r>
    <x v="709"/>
    <x v="0"/>
  </r>
  <r>
    <x v="710"/>
    <x v="0"/>
  </r>
  <r>
    <x v="711"/>
    <x v="0"/>
  </r>
  <r>
    <x v="712"/>
    <x v="0"/>
  </r>
  <r>
    <x v="713"/>
    <x v="0"/>
  </r>
  <r>
    <x v="714"/>
    <x v="0"/>
  </r>
  <r>
    <x v="715"/>
    <x v="0"/>
  </r>
  <r>
    <x v="716"/>
    <x v="0"/>
  </r>
  <r>
    <x v="717"/>
    <x v="0"/>
  </r>
  <r>
    <x v="718"/>
    <x v="0"/>
  </r>
  <r>
    <x v="719"/>
    <x v="0"/>
  </r>
  <r>
    <x v="720"/>
    <x v="0"/>
  </r>
  <r>
    <x v="721"/>
    <x v="0"/>
  </r>
  <r>
    <x v="722"/>
    <x v="0"/>
  </r>
  <r>
    <x v="723"/>
    <x v="0"/>
  </r>
  <r>
    <x v="724"/>
    <x v="0"/>
  </r>
  <r>
    <x v="725"/>
    <x v="0"/>
  </r>
  <r>
    <x v="726"/>
    <x v="0"/>
  </r>
  <r>
    <x v="727"/>
    <x v="0"/>
  </r>
  <r>
    <x v="728"/>
    <x v="0"/>
  </r>
  <r>
    <x v="729"/>
    <x v="0"/>
  </r>
  <r>
    <x v="730"/>
    <x v="0"/>
  </r>
  <r>
    <x v="731"/>
    <x v="0"/>
  </r>
  <r>
    <x v="732"/>
    <x v="0"/>
  </r>
  <r>
    <x v="733"/>
    <x v="0"/>
  </r>
  <r>
    <x v="734"/>
    <x v="0"/>
  </r>
  <r>
    <x v="735"/>
    <x v="0"/>
  </r>
  <r>
    <x v="736"/>
    <x v="0"/>
  </r>
  <r>
    <x v="737"/>
    <x v="0"/>
  </r>
  <r>
    <x v="738"/>
    <x v="0"/>
  </r>
  <r>
    <x v="739"/>
    <x v="0"/>
  </r>
  <r>
    <x v="740"/>
    <x v="0"/>
  </r>
  <r>
    <x v="741"/>
    <x v="0"/>
  </r>
  <r>
    <x v="742"/>
    <x v="0"/>
  </r>
  <r>
    <x v="743"/>
    <x v="0"/>
  </r>
  <r>
    <x v="744"/>
    <x v="0"/>
  </r>
  <r>
    <x v="745"/>
    <x v="0"/>
  </r>
  <r>
    <x v="746"/>
    <x v="0"/>
  </r>
  <r>
    <x v="747"/>
    <x v="0"/>
  </r>
  <r>
    <x v="748"/>
    <x v="0"/>
  </r>
  <r>
    <x v="749"/>
    <x v="0"/>
  </r>
  <r>
    <x v="750"/>
    <x v="0"/>
  </r>
  <r>
    <x v="751"/>
    <x v="0"/>
  </r>
  <r>
    <x v="752"/>
    <x v="0"/>
  </r>
  <r>
    <x v="753"/>
    <x v="0"/>
  </r>
  <r>
    <x v="754"/>
    <x v="0"/>
  </r>
  <r>
    <x v="755"/>
    <x v="0"/>
  </r>
  <r>
    <x v="756"/>
    <x v="0"/>
  </r>
  <r>
    <x v="757"/>
    <x v="0"/>
  </r>
  <r>
    <x v="758"/>
    <x v="0"/>
  </r>
  <r>
    <x v="759"/>
    <x v="0"/>
  </r>
  <r>
    <x v="760"/>
    <x v="0"/>
  </r>
  <r>
    <x v="761"/>
    <x v="0"/>
  </r>
  <r>
    <x v="762"/>
    <x v="0"/>
  </r>
  <r>
    <x v="763"/>
    <x v="0"/>
  </r>
  <r>
    <x v="764"/>
    <x v="0"/>
  </r>
  <r>
    <x v="765"/>
    <x v="0"/>
  </r>
  <r>
    <x v="766"/>
    <x v="0"/>
  </r>
  <r>
    <x v="767"/>
    <x v="0"/>
  </r>
  <r>
    <x v="768"/>
    <x v="0"/>
  </r>
  <r>
    <x v="769"/>
    <x v="0"/>
  </r>
  <r>
    <x v="770"/>
    <x v="0"/>
  </r>
  <r>
    <x v="771"/>
    <x v="0"/>
  </r>
  <r>
    <x v="772"/>
    <x v="0"/>
  </r>
  <r>
    <x v="773"/>
    <x v="0"/>
  </r>
  <r>
    <x v="774"/>
    <x v="0"/>
  </r>
  <r>
    <x v="775"/>
    <x v="0"/>
  </r>
  <r>
    <x v="776"/>
    <x v="0"/>
  </r>
  <r>
    <x v="777"/>
    <x v="0"/>
  </r>
  <r>
    <x v="778"/>
    <x v="0"/>
  </r>
  <r>
    <x v="779"/>
    <x v="0"/>
  </r>
  <r>
    <x v="780"/>
    <x v="0"/>
  </r>
  <r>
    <x v="781"/>
    <x v="0"/>
  </r>
  <r>
    <x v="782"/>
    <x v="0"/>
  </r>
  <r>
    <x v="783"/>
    <x v="0"/>
  </r>
  <r>
    <x v="784"/>
    <x v="0"/>
  </r>
  <r>
    <x v="785"/>
    <x v="0"/>
  </r>
  <r>
    <x v="786"/>
    <x v="0"/>
  </r>
  <r>
    <x v="787"/>
    <x v="0"/>
  </r>
  <r>
    <x v="788"/>
    <x v="0"/>
  </r>
  <r>
    <x v="789"/>
    <x v="0"/>
  </r>
  <r>
    <x v="790"/>
    <x v="0"/>
  </r>
  <r>
    <x v="791"/>
    <x v="0"/>
  </r>
  <r>
    <x v="792"/>
    <x v="0"/>
  </r>
  <r>
    <x v="793"/>
    <x v="0"/>
  </r>
  <r>
    <x v="794"/>
    <x v="0"/>
  </r>
  <r>
    <x v="795"/>
    <x v="0"/>
  </r>
  <r>
    <x v="796"/>
    <x v="0"/>
  </r>
  <r>
    <x v="797"/>
    <x v="0"/>
  </r>
  <r>
    <x v="798"/>
    <x v="0"/>
  </r>
  <r>
    <x v="799"/>
    <x v="0"/>
  </r>
  <r>
    <x v="800"/>
    <x v="0"/>
  </r>
  <r>
    <x v="801"/>
    <x v="0"/>
  </r>
  <r>
    <x v="802"/>
    <x v="0"/>
  </r>
  <r>
    <x v="803"/>
    <x v="0"/>
  </r>
  <r>
    <x v="804"/>
    <x v="0"/>
  </r>
  <r>
    <x v="805"/>
    <x v="0"/>
  </r>
  <r>
    <x v="806"/>
    <x v="0"/>
  </r>
  <r>
    <x v="807"/>
    <x v="0"/>
  </r>
  <r>
    <x v="808"/>
    <x v="0"/>
  </r>
  <r>
    <x v="809"/>
    <x v="0"/>
  </r>
  <r>
    <x v="810"/>
    <x v="0"/>
  </r>
  <r>
    <x v="811"/>
    <x v="0"/>
  </r>
  <r>
    <x v="812"/>
    <x v="0"/>
  </r>
  <r>
    <x v="813"/>
    <x v="0"/>
  </r>
  <r>
    <x v="814"/>
    <x v="0"/>
  </r>
  <r>
    <x v="815"/>
    <x v="0"/>
  </r>
  <r>
    <x v="816"/>
    <x v="0"/>
  </r>
  <r>
    <x v="817"/>
    <x v="0"/>
  </r>
  <r>
    <x v="818"/>
    <x v="0"/>
  </r>
  <r>
    <x v="819"/>
    <x v="0"/>
  </r>
  <r>
    <x v="820"/>
    <x v="0"/>
  </r>
  <r>
    <x v="821"/>
    <x v="0"/>
  </r>
  <r>
    <x v="822"/>
    <x v="0"/>
  </r>
  <r>
    <x v="823"/>
    <x v="0"/>
  </r>
  <r>
    <x v="824"/>
    <x v="0"/>
  </r>
  <r>
    <x v="825"/>
    <x v="0"/>
  </r>
  <r>
    <x v="826"/>
    <x v="0"/>
  </r>
  <r>
    <x v="827"/>
    <x v="0"/>
  </r>
  <r>
    <x v="828"/>
    <x v="0"/>
  </r>
  <r>
    <x v="829"/>
    <x v="0"/>
  </r>
  <r>
    <x v="830"/>
    <x v="0"/>
  </r>
  <r>
    <x v="831"/>
    <x v="0"/>
  </r>
  <r>
    <x v="832"/>
    <x v="0"/>
  </r>
  <r>
    <x v="833"/>
    <x v="0"/>
  </r>
  <r>
    <x v="834"/>
    <x v="0"/>
  </r>
  <r>
    <x v="835"/>
    <x v="0"/>
  </r>
  <r>
    <x v="836"/>
    <x v="0"/>
  </r>
  <r>
    <x v="837"/>
    <x v="0"/>
  </r>
  <r>
    <x v="838"/>
    <x v="0"/>
  </r>
  <r>
    <x v="839"/>
    <x v="0"/>
  </r>
  <r>
    <x v="840"/>
    <x v="0"/>
  </r>
  <r>
    <x v="841"/>
    <x v="0"/>
  </r>
  <r>
    <x v="842"/>
    <x v="0"/>
  </r>
  <r>
    <x v="843"/>
    <x v="0"/>
  </r>
  <r>
    <x v="844"/>
    <x v="0"/>
  </r>
  <r>
    <x v="845"/>
    <x v="0"/>
  </r>
  <r>
    <x v="846"/>
    <x v="0"/>
  </r>
  <r>
    <x v="847"/>
    <x v="0"/>
  </r>
  <r>
    <x v="848"/>
    <x v="0"/>
  </r>
  <r>
    <x v="849"/>
    <x v="0"/>
  </r>
  <r>
    <x v="850"/>
    <x v="0"/>
  </r>
  <r>
    <x v="851"/>
    <x v="0"/>
  </r>
  <r>
    <x v="852"/>
    <x v="0"/>
  </r>
  <r>
    <x v="853"/>
    <x v="0"/>
  </r>
  <r>
    <x v="854"/>
    <x v="0"/>
  </r>
  <r>
    <x v="855"/>
    <x v="0"/>
  </r>
  <r>
    <x v="856"/>
    <x v="0"/>
  </r>
  <r>
    <x v="857"/>
    <x v="0"/>
  </r>
  <r>
    <x v="858"/>
    <x v="0"/>
  </r>
  <r>
    <x v="859"/>
    <x v="0"/>
  </r>
  <r>
    <x v="860"/>
    <x v="0"/>
  </r>
  <r>
    <x v="861"/>
    <x v="0"/>
  </r>
  <r>
    <x v="862"/>
    <x v="0"/>
  </r>
  <r>
    <x v="863"/>
    <x v="0"/>
  </r>
  <r>
    <x v="864"/>
    <x v="0"/>
  </r>
  <r>
    <x v="865"/>
    <x v="0"/>
  </r>
  <r>
    <x v="866"/>
    <x v="0"/>
  </r>
  <r>
    <x v="867"/>
    <x v="0"/>
  </r>
  <r>
    <x v="868"/>
    <x v="0"/>
  </r>
  <r>
    <x v="869"/>
    <x v="0"/>
  </r>
  <r>
    <x v="870"/>
    <x v="0"/>
  </r>
  <r>
    <x v="871"/>
    <x v="0"/>
  </r>
  <r>
    <x v="872"/>
    <x v="0"/>
  </r>
  <r>
    <x v="873"/>
    <x v="0"/>
  </r>
  <r>
    <x v="874"/>
    <x v="0"/>
  </r>
  <r>
    <x v="875"/>
    <x v="0"/>
  </r>
  <r>
    <x v="87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699DC6-907A-4D76-91EB-159641C4C6F3}" name="Tabela dinâmica90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 chartFormat="1">
  <location ref="A3:H16" firstHeaderRow="1" firstDataRow="2" firstDataCol="3"/>
  <pivotFields count="4">
    <pivotField axis="axisRow" compact="0" numFmtId="165" outline="0" showAll="0" defaultSubtotal="0">
      <items count="8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9"/>
        <item x="640"/>
        <item x="638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Col" dataField="1" compact="0" outline="0" showAll="0" defaultSubtotal="0">
      <items count="5">
        <item x="3"/>
        <item x="4"/>
        <item x="1"/>
        <item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3"/>
    <field x="2"/>
    <field x="0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1">
    <field x="1"/>
  </colFields>
  <colItems count="5">
    <i>
      <x/>
    </i>
    <i>
      <x v="1"/>
    </i>
    <i>
      <x v="2"/>
    </i>
    <i>
      <x v="3"/>
    </i>
    <i>
      <x v="4"/>
    </i>
  </colItems>
  <dataFields count="1">
    <dataField name="Contagem de Pot. Ativa" fld="1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D9003-D365-4B75-8F5A-7B409850ACD2}">
  <sheetPr codeName="Planilha1"/>
  <dimension ref="A1"/>
  <sheetViews>
    <sheetView showGridLines="0" showRowColHeaders="0" zoomScaleNormal="100" workbookViewId="0">
      <selection activeCell="U17" sqref="U1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5D8C74-405A-49C3-856D-7F4692731878}">
  <sheetPr codeName="Planilha2"/>
  <dimension ref="A1:R384"/>
  <sheetViews>
    <sheetView showGridLines="0" zoomScaleNormal="100" workbookViewId="0">
      <selection activeCell="G14" sqref="G14"/>
    </sheetView>
  </sheetViews>
  <sheetFormatPr defaultRowHeight="15" x14ac:dyDescent="0.25"/>
  <cols>
    <col min="1" max="1" width="15.28515625" bestFit="1" customWidth="1"/>
    <col min="2" max="2" width="13.85546875" bestFit="1" customWidth="1"/>
    <col min="3" max="3" width="23" bestFit="1" customWidth="1"/>
    <col min="4" max="4" width="11" bestFit="1" customWidth="1"/>
    <col min="5" max="5" width="15.7109375" bestFit="1" customWidth="1"/>
    <col min="6" max="6" width="17.5703125" bestFit="1" customWidth="1"/>
    <col min="7" max="7" width="20.7109375" bestFit="1" customWidth="1"/>
    <col min="9" max="9" width="9.7109375" bestFit="1" customWidth="1"/>
    <col min="10" max="10" width="24.42578125" bestFit="1" customWidth="1"/>
    <col min="11" max="11" width="30.5703125" bestFit="1" customWidth="1"/>
    <col min="12" max="12" width="24.7109375" style="2" bestFit="1" customWidth="1"/>
    <col min="13" max="13" width="17.28515625" bestFit="1" customWidth="1"/>
    <col min="14" max="14" width="18.42578125" bestFit="1" customWidth="1"/>
    <col min="15" max="15" width="12.7109375" customWidth="1"/>
    <col min="16" max="16" width="15.28515625" bestFit="1" customWidth="1"/>
    <col min="17" max="17" width="27.42578125" customWidth="1"/>
  </cols>
  <sheetData>
    <row r="1" spans="1:18" x14ac:dyDescent="0.25">
      <c r="A1" s="8" t="s">
        <v>0</v>
      </c>
      <c r="B1" s="9" t="s">
        <v>1</v>
      </c>
      <c r="C1" s="8" t="s">
        <v>2</v>
      </c>
      <c r="D1" s="9" t="s">
        <v>3</v>
      </c>
      <c r="E1" s="8" t="s">
        <v>4</v>
      </c>
      <c r="F1" s="8" t="s">
        <v>5</v>
      </c>
      <c r="G1" s="9" t="s">
        <v>19</v>
      </c>
      <c r="I1">
        <v>2023</v>
      </c>
      <c r="J1" s="6" t="s">
        <v>22</v>
      </c>
      <c r="K1" s="6" t="s">
        <v>59</v>
      </c>
      <c r="L1" s="6" t="s">
        <v>20</v>
      </c>
      <c r="M1" s="7" t="s">
        <v>6</v>
      </c>
      <c r="N1" s="27" t="s">
        <v>29</v>
      </c>
      <c r="P1" s="10" t="s">
        <v>23</v>
      </c>
      <c r="Q1" s="67" t="s">
        <v>24</v>
      </c>
      <c r="R1" s="68"/>
    </row>
    <row r="2" spans="1:18" x14ac:dyDescent="0.25">
      <c r="A2" s="34">
        <v>44927</v>
      </c>
      <c r="B2" s="3">
        <v>463.9</v>
      </c>
      <c r="C2" s="3">
        <v>150</v>
      </c>
      <c r="D2" s="3">
        <v>146</v>
      </c>
      <c r="E2" s="32">
        <f>B2/D2</f>
        <v>3.1773972602739726</v>
      </c>
      <c r="F2" s="4">
        <f>B2/(24*D2)</f>
        <v>0.13239155251141552</v>
      </c>
      <c r="G2" s="32">
        <f>SUM(E2:E365)</f>
        <v>1429.2650684931521</v>
      </c>
      <c r="I2" s="10" t="s">
        <v>7</v>
      </c>
      <c r="J2" s="41">
        <f>AVERAGE(B2:B32)</f>
        <v>571.57419354838714</v>
      </c>
      <c r="K2" s="61">
        <f>SUM(B2:B32)/1000</f>
        <v>17.718800000000002</v>
      </c>
      <c r="L2" s="16">
        <f>SUM(E2:E32)</f>
        <v>121.36164383561643</v>
      </c>
      <c r="M2" s="18">
        <f>K2*1000/(R2*146*31)</f>
        <v>0.67498133390220505</v>
      </c>
      <c r="N2" s="18">
        <f>MEDIAN(F2:F32)</f>
        <v>0.16144406392694066</v>
      </c>
      <c r="P2" s="15" t="s">
        <v>25</v>
      </c>
      <c r="Q2" s="13" t="s">
        <v>7</v>
      </c>
      <c r="R2" s="16">
        <v>5.8</v>
      </c>
    </row>
    <row r="3" spans="1:18" x14ac:dyDescent="0.25">
      <c r="A3" s="34">
        <v>44928</v>
      </c>
      <c r="B3" s="3">
        <v>565.70000000000005</v>
      </c>
      <c r="C3" s="3">
        <v>150</v>
      </c>
      <c r="D3" s="3">
        <v>146</v>
      </c>
      <c r="E3" s="32">
        <f t="shared" ref="E3:E66" si="0">B3/D3</f>
        <v>3.8746575342465754</v>
      </c>
      <c r="F3" s="4">
        <f t="shared" ref="F3:F66" si="1">B3/(24*D3)</f>
        <v>0.16144406392694066</v>
      </c>
      <c r="G3" s="3" t="s">
        <v>27</v>
      </c>
      <c r="I3" s="6" t="s">
        <v>8</v>
      </c>
      <c r="J3" s="41">
        <f>AVERAGE(B33:B60)</f>
        <v>720.37142857142851</v>
      </c>
      <c r="K3" s="62">
        <f>SUM(B33:B60)/1000</f>
        <v>20.170399999999997</v>
      </c>
      <c r="L3" s="20">
        <f>SUM(E33:E60)</f>
        <v>138.1534246575342</v>
      </c>
      <c r="M3" s="18">
        <f>K3*1000/(R3*146*28)</f>
        <v>0.82509212050605718</v>
      </c>
      <c r="N3" s="28">
        <f>MEDIAN(F33:F60)</f>
        <v>0.2120576484018265</v>
      </c>
      <c r="P3" s="1"/>
      <c r="Q3" s="14" t="s">
        <v>8</v>
      </c>
      <c r="R3" s="19">
        <v>5.98</v>
      </c>
    </row>
    <row r="4" spans="1:18" x14ac:dyDescent="0.25">
      <c r="A4" s="34">
        <v>44929</v>
      </c>
      <c r="B4" s="3">
        <v>391.2</v>
      </c>
      <c r="C4" s="3">
        <v>150</v>
      </c>
      <c r="D4" s="3">
        <v>146</v>
      </c>
      <c r="E4" s="32">
        <f>B4/D4</f>
        <v>2.6794520547945204</v>
      </c>
      <c r="F4" s="4">
        <f t="shared" si="1"/>
        <v>0.11164383561643836</v>
      </c>
      <c r="G4" s="31"/>
      <c r="I4" s="10" t="s">
        <v>9</v>
      </c>
      <c r="J4" s="41">
        <f>AVERAGE(B61:B91)</f>
        <v>682.82903225806479</v>
      </c>
      <c r="K4" s="61">
        <f>SUM(B61:B91)/1000</f>
        <v>21.167700000000007</v>
      </c>
      <c r="L4" s="16">
        <f>SUM(E61:E91)</f>
        <v>144.98424657534247</v>
      </c>
      <c r="M4" s="18">
        <f>K4*1000/(R4*146*31)</f>
        <v>0.90813809317471039</v>
      </c>
      <c r="N4" s="18">
        <f>MEDIAN(F61:F91)</f>
        <v>0.20037100456621004</v>
      </c>
      <c r="P4" s="1"/>
      <c r="Q4" s="13" t="s">
        <v>9</v>
      </c>
      <c r="R4" s="16">
        <v>5.15</v>
      </c>
    </row>
    <row r="5" spans="1:18" x14ac:dyDescent="0.25">
      <c r="A5" s="34">
        <v>44930</v>
      </c>
      <c r="B5" s="3">
        <v>545.29999999999995</v>
      </c>
      <c r="C5" s="3">
        <v>150</v>
      </c>
      <c r="D5" s="3">
        <v>146</v>
      </c>
      <c r="E5" s="32">
        <f t="shared" si="0"/>
        <v>3.734931506849315</v>
      </c>
      <c r="F5" s="4">
        <f t="shared" si="1"/>
        <v>0.15562214611872144</v>
      </c>
      <c r="I5" s="6" t="s">
        <v>10</v>
      </c>
      <c r="J5" s="41">
        <f>AVERAGE(B92:B121)</f>
        <v>536.96000000000015</v>
      </c>
      <c r="K5" s="62">
        <f>SUM(B92:B121)/1000</f>
        <v>16.108800000000002</v>
      </c>
      <c r="L5" s="20">
        <f>SUM(E92:E121)</f>
        <v>110.33424657534248</v>
      </c>
      <c r="M5" s="18">
        <f>K5*1000/(R5*146*30)</f>
        <v>0.76941594543474534</v>
      </c>
      <c r="N5" s="28">
        <f>MEDIAN(F92:F121)</f>
        <v>0.15943207762557077</v>
      </c>
      <c r="P5" s="1"/>
      <c r="Q5" s="15" t="s">
        <v>10</v>
      </c>
      <c r="R5" s="20">
        <v>4.78</v>
      </c>
    </row>
    <row r="6" spans="1:18" x14ac:dyDescent="0.25">
      <c r="A6" s="34">
        <v>44931</v>
      </c>
      <c r="B6" s="3">
        <v>203.5</v>
      </c>
      <c r="C6" s="3">
        <v>150</v>
      </c>
      <c r="D6" s="3">
        <v>146</v>
      </c>
      <c r="E6" s="32">
        <f t="shared" si="0"/>
        <v>1.3938356164383561</v>
      </c>
      <c r="F6" s="4">
        <f>B6/(24*D6)</f>
        <v>5.8076484018264839E-2</v>
      </c>
      <c r="I6" s="10" t="s">
        <v>11</v>
      </c>
      <c r="J6" s="41">
        <f>AVERAGE(B122:B152)</f>
        <v>515.12580645161279</v>
      </c>
      <c r="K6" s="61">
        <f>SUM(B122:B152)/1000</f>
        <v>15.968899999999998</v>
      </c>
      <c r="L6" s="16">
        <f>SUM(E122:E152)</f>
        <v>109.3760273972603</v>
      </c>
      <c r="M6" s="18">
        <f>K6*1000/(R6*146*31)</f>
        <v>0.84610526338098757</v>
      </c>
      <c r="N6" s="28">
        <f>MEDIAN(F122:F152)</f>
        <v>0.15679223744292237</v>
      </c>
      <c r="P6" s="1"/>
      <c r="Q6" s="13" t="s">
        <v>11</v>
      </c>
      <c r="R6" s="16">
        <v>4.17</v>
      </c>
    </row>
    <row r="7" spans="1:18" x14ac:dyDescent="0.25">
      <c r="A7" s="34">
        <v>44932</v>
      </c>
      <c r="B7" s="3">
        <v>290.3</v>
      </c>
      <c r="C7" s="3">
        <v>150</v>
      </c>
      <c r="D7" s="3">
        <v>146</v>
      </c>
      <c r="E7" s="32">
        <f t="shared" si="0"/>
        <v>1.9883561643835617</v>
      </c>
      <c r="F7" s="4">
        <f t="shared" si="1"/>
        <v>8.2848173515981741E-2</v>
      </c>
      <c r="I7" s="6" t="s">
        <v>12</v>
      </c>
      <c r="J7" s="41">
        <f>AVERAGE(B153:B182)</f>
        <v>449.31000000000012</v>
      </c>
      <c r="K7" s="62">
        <f>SUM(B153:B182)/1000</f>
        <v>13.479300000000002</v>
      </c>
      <c r="L7" s="20">
        <f>SUM(E153:E182)</f>
        <v>92.32397260273973</v>
      </c>
      <c r="M7" s="18">
        <f>K7*1000/(R7*146*31)</f>
        <v>0.73354499128189843</v>
      </c>
      <c r="N7" s="28">
        <f>MEDIAN(F153:F182)</f>
        <v>0.13377568493150685</v>
      </c>
      <c r="P7" s="1"/>
      <c r="Q7" s="15" t="s">
        <v>12</v>
      </c>
      <c r="R7" s="20">
        <v>4.0599999999999996</v>
      </c>
    </row>
    <row r="8" spans="1:18" x14ac:dyDescent="0.25">
      <c r="A8" s="34">
        <v>44933</v>
      </c>
      <c r="B8" s="3">
        <v>485.5</v>
      </c>
      <c r="C8" s="3">
        <v>150</v>
      </c>
      <c r="D8" s="3">
        <v>146</v>
      </c>
      <c r="E8" s="32">
        <f t="shared" si="0"/>
        <v>3.3253424657534247</v>
      </c>
      <c r="F8" s="4">
        <f t="shared" si="1"/>
        <v>0.13855593607305935</v>
      </c>
      <c r="I8" s="10" t="s">
        <v>13</v>
      </c>
      <c r="J8" s="41">
        <f>AVERAGE(B183:B213)</f>
        <v>413.74516129032264</v>
      </c>
      <c r="K8" s="61">
        <f>SUM(B183:B213)/1000</f>
        <v>12.826100000000002</v>
      </c>
      <c r="L8" s="16">
        <f>SUM(E183:E213)</f>
        <v>87.85</v>
      </c>
      <c r="M8" s="18">
        <f>K8*1000/(R8*146*31)</f>
        <v>0.66211938498643363</v>
      </c>
      <c r="N8" s="28">
        <f>MEDIAN(F183:F213)</f>
        <v>0.12086187214611872</v>
      </c>
      <c r="P8" s="1"/>
      <c r="Q8" s="13" t="s">
        <v>13</v>
      </c>
      <c r="R8" s="16">
        <v>4.28</v>
      </c>
    </row>
    <row r="9" spans="1:18" x14ac:dyDescent="0.25">
      <c r="A9" s="34">
        <v>44934</v>
      </c>
      <c r="B9" s="3">
        <v>86.8</v>
      </c>
      <c r="C9" s="3">
        <v>150</v>
      </c>
      <c r="D9" s="3">
        <v>146</v>
      </c>
      <c r="E9" s="32">
        <f t="shared" si="0"/>
        <v>0.59452054794520548</v>
      </c>
      <c r="F9" s="4">
        <f>B9/(24*D9)</f>
        <v>2.4771689497716895E-2</v>
      </c>
      <c r="I9" s="6" t="s">
        <v>14</v>
      </c>
      <c r="J9" s="41">
        <f>AVERAGE(B214:B244)</f>
        <v>437.76774193548391</v>
      </c>
      <c r="K9" s="62">
        <f>SUM(B214:B244)/1000</f>
        <v>13.570800000000002</v>
      </c>
      <c r="L9" s="20">
        <f>SUM(E214:E244)</f>
        <v>92.950684931506828</v>
      </c>
      <c r="M9" s="18">
        <f>K9*1000/(R9*146*31)</f>
        <v>0.58221537695901571</v>
      </c>
      <c r="N9" s="28">
        <f>MEDIAN(F214:F244)</f>
        <v>0.13273401826484019</v>
      </c>
      <c r="P9" s="1"/>
      <c r="Q9" s="15" t="s">
        <v>14</v>
      </c>
      <c r="R9" s="20">
        <v>5.15</v>
      </c>
    </row>
    <row r="10" spans="1:18" x14ac:dyDescent="0.25">
      <c r="A10" s="34">
        <v>44935</v>
      </c>
      <c r="B10" s="3">
        <v>586.9</v>
      </c>
      <c r="C10" s="3">
        <v>150</v>
      </c>
      <c r="D10" s="3">
        <v>146</v>
      </c>
      <c r="E10" s="32">
        <f t="shared" si="0"/>
        <v>4.0198630136986298</v>
      </c>
      <c r="F10" s="4">
        <f t="shared" si="1"/>
        <v>0.16749429223744292</v>
      </c>
      <c r="I10" s="10" t="s">
        <v>15</v>
      </c>
      <c r="J10" s="41">
        <f>AVERAGE(B245:B274)</f>
        <v>577.48333333333346</v>
      </c>
      <c r="K10" s="61">
        <f>SUM(B245:B274)/1000</f>
        <v>17.324500000000004</v>
      </c>
      <c r="L10" s="16">
        <f>SUM(E245:E274)</f>
        <v>118.66095890410959</v>
      </c>
      <c r="M10" s="18">
        <f>K10*1000/(R10*146*30)</f>
        <v>0.7139648550187101</v>
      </c>
      <c r="N10" s="28">
        <f>MEDIAN(F245:F274)</f>
        <v>0.19121004566210045</v>
      </c>
      <c r="P10" s="1"/>
      <c r="Q10" s="13" t="s">
        <v>15</v>
      </c>
      <c r="R10" s="16">
        <v>5.54</v>
      </c>
    </row>
    <row r="11" spans="1:18" x14ac:dyDescent="0.25">
      <c r="A11" s="34">
        <v>44936</v>
      </c>
      <c r="B11" s="3">
        <v>693.2</v>
      </c>
      <c r="C11" s="3">
        <v>150</v>
      </c>
      <c r="D11" s="3">
        <v>146</v>
      </c>
      <c r="E11" s="32">
        <f t="shared" si="0"/>
        <v>4.7479452054794526</v>
      </c>
      <c r="F11" s="4">
        <f t="shared" si="1"/>
        <v>0.19783105022831052</v>
      </c>
      <c r="I11" s="6" t="s">
        <v>16</v>
      </c>
      <c r="J11" s="41">
        <f>AVERAGE(B275:B305)</f>
        <v>611.53103448275863</v>
      </c>
      <c r="K11" s="62">
        <f>SUM(B275:B305)/1000</f>
        <v>17.734400000000001</v>
      </c>
      <c r="L11" s="20">
        <f>SUM(E275:E305)</f>
        <v>121.46849315068492</v>
      </c>
      <c r="M11" s="18">
        <f>K11*1000/(R11*146*31)</f>
        <v>0.69228595207275134</v>
      </c>
      <c r="N11" s="28">
        <f>MEDIAN(F275:F305)</f>
        <v>0.17768264840182649</v>
      </c>
      <c r="P11" s="1"/>
      <c r="Q11" s="15" t="s">
        <v>16</v>
      </c>
      <c r="R11" s="20">
        <v>5.66</v>
      </c>
    </row>
    <row r="12" spans="1:18" x14ac:dyDescent="0.25">
      <c r="A12" s="34">
        <v>44937</v>
      </c>
      <c r="B12" s="3">
        <v>555.70000000000005</v>
      </c>
      <c r="C12" s="3">
        <v>150</v>
      </c>
      <c r="D12" s="3">
        <v>146</v>
      </c>
      <c r="E12" s="32">
        <f t="shared" si="0"/>
        <v>3.8061643835616441</v>
      </c>
      <c r="F12" s="4">
        <f t="shared" si="1"/>
        <v>0.15859018264840183</v>
      </c>
      <c r="I12" s="10" t="s">
        <v>17</v>
      </c>
      <c r="J12" s="41">
        <f>AVERAGE(B306:B335)</f>
        <v>739.97931034482747</v>
      </c>
      <c r="K12" s="61">
        <f>SUM(B306:B335)/1000</f>
        <v>21.459399999999999</v>
      </c>
      <c r="L12" s="16">
        <f>SUM(E306:E335)</f>
        <v>146.98219178082192</v>
      </c>
      <c r="M12" s="18">
        <f>K12*1000/(R12*146*30)</f>
        <v>0.91577689583066624</v>
      </c>
      <c r="N12" s="28">
        <f>MEDIAN(F306:F335)</f>
        <v>0.22037671232876713</v>
      </c>
      <c r="P12" s="1"/>
      <c r="Q12" s="13" t="s">
        <v>17</v>
      </c>
      <c r="R12" s="16">
        <v>5.35</v>
      </c>
    </row>
    <row r="13" spans="1:18" x14ac:dyDescent="0.25">
      <c r="A13" s="34">
        <v>44938</v>
      </c>
      <c r="B13" s="3">
        <v>488.2</v>
      </c>
      <c r="C13" s="3">
        <v>150</v>
      </c>
      <c r="D13" s="3">
        <v>146</v>
      </c>
      <c r="E13" s="32">
        <f t="shared" si="0"/>
        <v>3.3438356164383563</v>
      </c>
      <c r="F13" s="4">
        <f t="shared" si="1"/>
        <v>0.13932648401826483</v>
      </c>
      <c r="I13" s="6" t="s">
        <v>18</v>
      </c>
      <c r="J13" s="41">
        <f>AVERAGE(B336:B366)</f>
        <v>699.22580645161304</v>
      </c>
      <c r="K13" s="62">
        <f>SUM(B336:B366)/1000</f>
        <v>21.676000000000002</v>
      </c>
      <c r="L13" s="20">
        <f>SUM(E336:E366)</f>
        <v>148.46575342465752</v>
      </c>
      <c r="M13" s="18">
        <f>K13*1000/(R13*146*31)</f>
        <v>0.84915210149083487</v>
      </c>
      <c r="N13" s="28">
        <f>MEDIAN(F336:F366)</f>
        <v>0.19112442922374431</v>
      </c>
      <c r="P13" s="1"/>
      <c r="Q13" s="15" t="s">
        <v>18</v>
      </c>
      <c r="R13" s="20">
        <v>5.64</v>
      </c>
    </row>
    <row r="14" spans="1:18" x14ac:dyDescent="0.25">
      <c r="A14" s="34">
        <v>44939</v>
      </c>
      <c r="B14" s="3">
        <v>730.6</v>
      </c>
      <c r="C14" s="3">
        <v>150</v>
      </c>
      <c r="D14" s="3">
        <v>146</v>
      </c>
      <c r="E14" s="32">
        <f t="shared" si="0"/>
        <v>5.0041095890410965</v>
      </c>
      <c r="F14" s="4">
        <f t="shared" si="1"/>
        <v>0.20850456621004568</v>
      </c>
      <c r="I14" s="22" t="s">
        <v>28</v>
      </c>
      <c r="J14" s="43">
        <f>SUM(J2:J13)/12</f>
        <v>579.65857072231927</v>
      </c>
      <c r="K14" s="63">
        <f>SUM(K2:K13)</f>
        <v>209.20509999999996</v>
      </c>
      <c r="L14" s="33">
        <f>SUM(L2:L13)</f>
        <v>1432.9116438356164</v>
      </c>
      <c r="M14" s="24">
        <f>K14*1000/(R14*146*365)</f>
        <v>0.76526029738343671</v>
      </c>
      <c r="N14" s="26">
        <f>MEDIAN(N2:N13)</f>
        <v>0.16956335616438356</v>
      </c>
      <c r="P14" s="1"/>
      <c r="Q14" s="13" t="s">
        <v>26</v>
      </c>
      <c r="R14" s="16">
        <v>5.13</v>
      </c>
    </row>
    <row r="15" spans="1:18" x14ac:dyDescent="0.25">
      <c r="A15" s="34">
        <v>44940</v>
      </c>
      <c r="B15" s="3">
        <v>751</v>
      </c>
      <c r="C15" s="3">
        <v>150</v>
      </c>
      <c r="D15" s="3">
        <v>146</v>
      </c>
      <c r="E15" s="32">
        <f t="shared" si="0"/>
        <v>5.1438356164383565</v>
      </c>
      <c r="F15" s="4">
        <f t="shared" si="1"/>
        <v>0.21432648401826485</v>
      </c>
      <c r="L15"/>
      <c r="O15" s="21"/>
      <c r="P15" s="30"/>
    </row>
    <row r="16" spans="1:18" x14ac:dyDescent="0.25">
      <c r="A16" s="34">
        <v>44941</v>
      </c>
      <c r="B16" s="3">
        <v>737.5</v>
      </c>
      <c r="C16" s="3">
        <v>150</v>
      </c>
      <c r="D16" s="3">
        <v>146</v>
      </c>
      <c r="E16" s="32">
        <f t="shared" si="0"/>
        <v>5.0513698630136989</v>
      </c>
      <c r="F16" s="4">
        <f t="shared" si="1"/>
        <v>0.21047374429223745</v>
      </c>
    </row>
    <row r="17" spans="1:16" x14ac:dyDescent="0.25">
      <c r="A17" s="34">
        <v>44942</v>
      </c>
      <c r="B17" s="3">
        <v>873.8</v>
      </c>
      <c r="C17" s="3">
        <v>150</v>
      </c>
      <c r="D17" s="3">
        <v>146</v>
      </c>
      <c r="E17" s="32">
        <f t="shared" si="0"/>
        <v>5.984931506849315</v>
      </c>
      <c r="F17" s="4">
        <f t="shared" si="1"/>
        <v>0.24937214611872144</v>
      </c>
    </row>
    <row r="18" spans="1:16" x14ac:dyDescent="0.25">
      <c r="A18" s="34">
        <v>44943</v>
      </c>
      <c r="B18" s="3">
        <v>869.9</v>
      </c>
      <c r="C18" s="3">
        <v>150</v>
      </c>
      <c r="D18" s="3">
        <v>146</v>
      </c>
      <c r="E18" s="32">
        <f t="shared" si="0"/>
        <v>5.9582191780821914</v>
      </c>
      <c r="F18" s="4">
        <f t="shared" si="1"/>
        <v>0.24825913242009132</v>
      </c>
    </row>
    <row r="19" spans="1:16" x14ac:dyDescent="0.25">
      <c r="A19" s="34">
        <v>44944</v>
      </c>
      <c r="B19" s="3">
        <v>818.5</v>
      </c>
      <c r="C19" s="3">
        <v>150</v>
      </c>
      <c r="D19" s="3">
        <v>146</v>
      </c>
      <c r="E19" s="32">
        <f t="shared" si="0"/>
        <v>5.6061643835616435</v>
      </c>
      <c r="F19" s="4">
        <f t="shared" si="1"/>
        <v>0.23359018264840184</v>
      </c>
    </row>
    <row r="20" spans="1:16" x14ac:dyDescent="0.25">
      <c r="A20" s="34">
        <v>44945</v>
      </c>
      <c r="B20" s="3">
        <v>612.4</v>
      </c>
      <c r="C20" s="3">
        <v>150</v>
      </c>
      <c r="D20" s="3">
        <v>146</v>
      </c>
      <c r="E20" s="32">
        <f t="shared" si="0"/>
        <v>4.1945205479452055</v>
      </c>
      <c r="F20" s="4">
        <f t="shared" si="1"/>
        <v>0.17477168949771688</v>
      </c>
    </row>
    <row r="21" spans="1:16" x14ac:dyDescent="0.25">
      <c r="A21" s="34">
        <v>44946</v>
      </c>
      <c r="B21" s="3">
        <v>488.5</v>
      </c>
      <c r="C21" s="3">
        <v>150</v>
      </c>
      <c r="D21" s="3">
        <v>146</v>
      </c>
      <c r="E21" s="32">
        <f t="shared" si="0"/>
        <v>3.345890410958904</v>
      </c>
      <c r="F21" s="4">
        <f t="shared" si="1"/>
        <v>0.139412100456621</v>
      </c>
      <c r="J21" s="5"/>
    </row>
    <row r="22" spans="1:16" x14ac:dyDescent="0.25">
      <c r="A22" s="34">
        <v>44947</v>
      </c>
      <c r="B22" s="3">
        <v>270.10000000000002</v>
      </c>
      <c r="C22" s="3">
        <v>150</v>
      </c>
      <c r="D22" s="3">
        <v>146</v>
      </c>
      <c r="E22" s="32">
        <f t="shared" si="0"/>
        <v>1.85</v>
      </c>
      <c r="F22" s="4">
        <f t="shared" si="1"/>
        <v>7.7083333333333337E-2</v>
      </c>
      <c r="J22" s="5"/>
      <c r="M22" s="26">
        <f>MEDIAN(M2:M13)</f>
        <v>0.75148046835832183</v>
      </c>
    </row>
    <row r="23" spans="1:16" ht="63.75" x14ac:dyDescent="1">
      <c r="A23" s="34">
        <v>44948</v>
      </c>
      <c r="B23" s="3">
        <v>492.8</v>
      </c>
      <c r="C23" s="3">
        <v>150</v>
      </c>
      <c r="D23" s="3">
        <v>146</v>
      </c>
      <c r="E23" s="32">
        <f t="shared" si="0"/>
        <v>3.3753424657534246</v>
      </c>
      <c r="F23" s="4">
        <f t="shared" si="1"/>
        <v>0.14063926940639271</v>
      </c>
      <c r="J23" s="69" t="s">
        <v>30</v>
      </c>
      <c r="K23" s="70"/>
      <c r="L23" s="70"/>
      <c r="M23" s="70"/>
      <c r="N23" s="70"/>
    </row>
    <row r="24" spans="1:16" x14ac:dyDescent="0.25">
      <c r="A24" s="34">
        <v>44949</v>
      </c>
      <c r="B24" s="3">
        <v>508.4</v>
      </c>
      <c r="C24" s="3">
        <v>150</v>
      </c>
      <c r="D24" s="3">
        <v>146</v>
      </c>
      <c r="E24" s="32">
        <f t="shared" si="0"/>
        <v>3.4821917808219176</v>
      </c>
      <c r="F24" s="4">
        <f t="shared" si="1"/>
        <v>0.14509132420091322</v>
      </c>
      <c r="J24" s="6" t="s">
        <v>22</v>
      </c>
      <c r="K24" s="6" t="s">
        <v>21</v>
      </c>
      <c r="L24" s="6" t="s">
        <v>20</v>
      </c>
      <c r="M24" s="7" t="s">
        <v>6</v>
      </c>
      <c r="N24" s="27" t="s">
        <v>29</v>
      </c>
    </row>
    <row r="25" spans="1:16" x14ac:dyDescent="0.25">
      <c r="A25" s="34">
        <v>44950</v>
      </c>
      <c r="B25" s="3">
        <v>426.3</v>
      </c>
      <c r="C25" s="3">
        <v>150</v>
      </c>
      <c r="D25" s="3">
        <v>146</v>
      </c>
      <c r="E25" s="32">
        <f t="shared" si="0"/>
        <v>2.9198630136986301</v>
      </c>
      <c r="F25" s="4">
        <f t="shared" si="1"/>
        <v>0.12166095890410959</v>
      </c>
      <c r="I25" s="10" t="s">
        <v>7</v>
      </c>
      <c r="J25" s="11">
        <v>574</v>
      </c>
      <c r="K25" s="17"/>
      <c r="L25" s="16">
        <f>(J25/146)*31</f>
        <v>121.87671232876713</v>
      </c>
      <c r="M25" s="18">
        <v>0.80200000000000005</v>
      </c>
      <c r="N25" s="18">
        <f t="shared" ref="N25:N31" si="2">J25/(24*146)</f>
        <v>0.16381278538812785</v>
      </c>
      <c r="P25" s="35"/>
    </row>
    <row r="26" spans="1:16" x14ac:dyDescent="0.25">
      <c r="A26" s="34">
        <v>44951</v>
      </c>
      <c r="B26" s="3">
        <v>517.1</v>
      </c>
      <c r="C26" s="3">
        <v>150</v>
      </c>
      <c r="D26" s="3">
        <v>146</v>
      </c>
      <c r="E26" s="32">
        <f t="shared" si="0"/>
        <v>3.5417808219178082</v>
      </c>
      <c r="F26" s="4">
        <f t="shared" si="1"/>
        <v>0.14757420091324203</v>
      </c>
      <c r="I26" s="6" t="s">
        <v>8</v>
      </c>
      <c r="J26" s="12">
        <v>720</v>
      </c>
      <c r="K26" s="12"/>
      <c r="L26" s="16">
        <f>(J26/146)*29</f>
        <v>143.01369863013699</v>
      </c>
      <c r="M26" s="28">
        <v>0.80600000000000005</v>
      </c>
      <c r="N26" s="18">
        <f t="shared" si="2"/>
        <v>0.20547945205479451</v>
      </c>
      <c r="P26" s="35"/>
    </row>
    <row r="27" spans="1:16" x14ac:dyDescent="0.25">
      <c r="A27" s="34">
        <v>44952</v>
      </c>
      <c r="B27" s="3">
        <v>638.5</v>
      </c>
      <c r="C27" s="3">
        <v>150</v>
      </c>
      <c r="D27" s="3">
        <v>146</v>
      </c>
      <c r="E27" s="32">
        <f t="shared" si="0"/>
        <v>4.3732876712328768</v>
      </c>
      <c r="F27" s="4">
        <f t="shared" si="1"/>
        <v>0.1822203196347032</v>
      </c>
      <c r="I27" s="10" t="s">
        <v>9</v>
      </c>
      <c r="J27" s="11">
        <v>682</v>
      </c>
      <c r="K27" s="11"/>
      <c r="L27" s="16">
        <f>(J27/146)*31</f>
        <v>144.80821917808217</v>
      </c>
      <c r="M27" s="18">
        <v>0.81299999999999994</v>
      </c>
      <c r="N27" s="18">
        <f t="shared" si="2"/>
        <v>0.19463470319634704</v>
      </c>
      <c r="P27" s="35"/>
    </row>
    <row r="28" spans="1:16" x14ac:dyDescent="0.25">
      <c r="A28" s="34">
        <v>44953</v>
      </c>
      <c r="B28" s="3">
        <v>703.2</v>
      </c>
      <c r="C28" s="3">
        <v>150</v>
      </c>
      <c r="D28" s="3">
        <v>146</v>
      </c>
      <c r="E28" s="32">
        <f t="shared" si="0"/>
        <v>4.816438356164384</v>
      </c>
      <c r="F28" s="4">
        <f t="shared" si="1"/>
        <v>0.20068493150684932</v>
      </c>
      <c r="I28" s="6" t="s">
        <v>10</v>
      </c>
      <c r="J28" s="12">
        <v>537</v>
      </c>
      <c r="K28" s="12"/>
      <c r="L28" s="16">
        <f>(J28/146)*30</f>
        <v>110.34246575342465</v>
      </c>
      <c r="M28" s="18">
        <v>0.78500000000000003</v>
      </c>
      <c r="N28" s="18">
        <f t="shared" si="2"/>
        <v>0.15325342465753425</v>
      </c>
      <c r="P28" s="35"/>
    </row>
    <row r="29" spans="1:16" x14ac:dyDescent="0.25">
      <c r="A29" s="34">
        <v>44954</v>
      </c>
      <c r="B29" s="3">
        <v>701.2</v>
      </c>
      <c r="C29" s="3">
        <v>150</v>
      </c>
      <c r="D29" s="3">
        <v>146</v>
      </c>
      <c r="E29" s="32">
        <f t="shared" si="0"/>
        <v>4.8027397260273972</v>
      </c>
      <c r="F29" s="4">
        <f t="shared" si="1"/>
        <v>0.20011415525114157</v>
      </c>
      <c r="I29" s="10" t="s">
        <v>11</v>
      </c>
      <c r="J29" s="11">
        <v>514</v>
      </c>
      <c r="K29" s="11"/>
      <c r="L29" s="16">
        <f>(J29/146)*31</f>
        <v>109.13698630136986</v>
      </c>
      <c r="M29" s="18">
        <v>0.82899999999999996</v>
      </c>
      <c r="N29" s="18">
        <f t="shared" si="2"/>
        <v>0.14668949771689499</v>
      </c>
      <c r="P29" s="35"/>
    </row>
    <row r="30" spans="1:16" x14ac:dyDescent="0.25">
      <c r="A30" s="34">
        <v>44955</v>
      </c>
      <c r="B30" s="3">
        <v>788.4</v>
      </c>
      <c r="C30" s="3">
        <v>150</v>
      </c>
      <c r="D30" s="3">
        <v>146</v>
      </c>
      <c r="E30" s="32">
        <f t="shared" si="0"/>
        <v>5.3999999999999995</v>
      </c>
      <c r="F30" s="4">
        <f t="shared" si="1"/>
        <v>0.22500000000000001</v>
      </c>
      <c r="I30" s="6" t="s">
        <v>12</v>
      </c>
      <c r="J30" s="12">
        <v>449</v>
      </c>
      <c r="K30" s="12"/>
      <c r="L30" s="16">
        <f>(J30/146)*30</f>
        <v>92.260273972602747</v>
      </c>
      <c r="M30" s="18">
        <v>0.83199999999999996</v>
      </c>
      <c r="N30" s="18">
        <f t="shared" si="2"/>
        <v>0.1281392694063927</v>
      </c>
      <c r="P30" s="35"/>
    </row>
    <row r="31" spans="1:16" x14ac:dyDescent="0.25">
      <c r="A31" s="34">
        <v>44956</v>
      </c>
      <c r="B31" s="3">
        <v>614.5</v>
      </c>
      <c r="C31" s="3">
        <v>150</v>
      </c>
      <c r="D31" s="3">
        <v>146</v>
      </c>
      <c r="E31" s="32">
        <f t="shared" si="0"/>
        <v>4.2089041095890414</v>
      </c>
      <c r="F31" s="4">
        <f t="shared" si="1"/>
        <v>0.17537100456621005</v>
      </c>
      <c r="I31" s="10" t="s">
        <v>13</v>
      </c>
      <c r="J31" s="11">
        <v>414</v>
      </c>
      <c r="K31" s="11"/>
      <c r="L31" s="16">
        <f>(J31/146)*31</f>
        <v>87.904109589041084</v>
      </c>
      <c r="M31" s="18">
        <v>0.82499999999999996</v>
      </c>
      <c r="N31" s="18">
        <f t="shared" si="2"/>
        <v>0.11815068493150685</v>
      </c>
      <c r="P31" s="35"/>
    </row>
    <row r="32" spans="1:16" x14ac:dyDescent="0.25">
      <c r="A32" s="34">
        <v>44957</v>
      </c>
      <c r="B32" s="3">
        <v>819.9</v>
      </c>
      <c r="C32" s="3">
        <v>150</v>
      </c>
      <c r="D32" s="3">
        <v>146</v>
      </c>
      <c r="E32" s="32">
        <f t="shared" si="0"/>
        <v>5.6157534246575338</v>
      </c>
      <c r="F32" s="4">
        <f t="shared" si="1"/>
        <v>0.23398972602739726</v>
      </c>
      <c r="I32" s="6" t="s">
        <v>14</v>
      </c>
      <c r="J32" s="12">
        <v>438</v>
      </c>
      <c r="K32" s="12"/>
      <c r="L32" s="16">
        <f>(J32/146)*31</f>
        <v>93</v>
      </c>
      <c r="M32" s="18">
        <v>0.76300000000000001</v>
      </c>
      <c r="N32" s="18">
        <f>J32/(24*146)</f>
        <v>0.125</v>
      </c>
      <c r="P32" s="35"/>
    </row>
    <row r="33" spans="1:16" x14ac:dyDescent="0.25">
      <c r="A33" s="34">
        <v>44958</v>
      </c>
      <c r="B33" s="3">
        <v>822.8</v>
      </c>
      <c r="C33" s="3">
        <v>150</v>
      </c>
      <c r="D33" s="3">
        <v>146</v>
      </c>
      <c r="E33" s="32">
        <f t="shared" si="0"/>
        <v>5.6356164383561644</v>
      </c>
      <c r="F33" s="4">
        <f t="shared" si="1"/>
        <v>0.23481735159817349</v>
      </c>
      <c r="I33" s="10" t="s">
        <v>15</v>
      </c>
      <c r="J33" s="11">
        <v>575</v>
      </c>
      <c r="K33" s="11"/>
      <c r="L33" s="16">
        <f>(J33/146)*30</f>
        <v>118.15068493150685</v>
      </c>
      <c r="M33" s="18">
        <v>0.755</v>
      </c>
      <c r="N33" s="18">
        <f>J33/(24*146)</f>
        <v>0.16409817351598174</v>
      </c>
      <c r="P33" s="35"/>
    </row>
    <row r="34" spans="1:16" x14ac:dyDescent="0.25">
      <c r="A34" s="34">
        <v>44959</v>
      </c>
      <c r="B34" s="3">
        <v>698.2</v>
      </c>
      <c r="C34" s="3">
        <v>150</v>
      </c>
      <c r="D34" s="3">
        <v>146</v>
      </c>
      <c r="E34" s="32">
        <f t="shared" si="0"/>
        <v>4.7821917808219183</v>
      </c>
      <c r="F34" s="4">
        <f t="shared" si="1"/>
        <v>0.19925799086757992</v>
      </c>
      <c r="I34" s="6" t="s">
        <v>16</v>
      </c>
      <c r="J34" s="12">
        <v>615</v>
      </c>
      <c r="K34" s="12"/>
      <c r="L34" s="16">
        <f>(J34/146)*31</f>
        <v>130.58219178082192</v>
      </c>
      <c r="M34" s="18">
        <v>0.80600000000000005</v>
      </c>
      <c r="N34" s="18">
        <f>J34/(24*146)</f>
        <v>0.17551369863013699</v>
      </c>
      <c r="P34" s="35"/>
    </row>
    <row r="35" spans="1:16" x14ac:dyDescent="0.25">
      <c r="A35" s="34">
        <v>44960</v>
      </c>
      <c r="B35" s="3">
        <v>826.8</v>
      </c>
      <c r="C35" s="3">
        <v>150</v>
      </c>
      <c r="D35" s="3">
        <v>146</v>
      </c>
      <c r="E35" s="32">
        <f t="shared" si="0"/>
        <v>5.6630136986301363</v>
      </c>
      <c r="F35" s="4">
        <f t="shared" si="1"/>
        <v>0.23595890410958903</v>
      </c>
      <c r="I35" s="10" t="s">
        <v>17</v>
      </c>
      <c r="J35" s="11">
        <v>707</v>
      </c>
      <c r="K35" s="11"/>
      <c r="L35" s="16">
        <f>(J35/146)*30</f>
        <v>145.27397260273972</v>
      </c>
      <c r="M35" s="18">
        <v>0.81499999999999995</v>
      </c>
      <c r="N35" s="18">
        <f>J35/(24*146)</f>
        <v>0.20176940639269406</v>
      </c>
      <c r="P35" s="35"/>
    </row>
    <row r="36" spans="1:16" x14ac:dyDescent="0.25">
      <c r="A36" s="34">
        <v>44961</v>
      </c>
      <c r="B36" s="3">
        <v>895.4</v>
      </c>
      <c r="C36" s="3">
        <v>150</v>
      </c>
      <c r="D36" s="3">
        <v>146</v>
      </c>
      <c r="E36" s="32">
        <f t="shared" si="0"/>
        <v>6.1328767123287671</v>
      </c>
      <c r="F36" s="4">
        <f t="shared" si="1"/>
        <v>0.25553652968036528</v>
      </c>
      <c r="I36" s="6" t="s">
        <v>18</v>
      </c>
      <c r="J36" s="12">
        <v>547</v>
      </c>
      <c r="K36" s="12"/>
      <c r="L36" s="16">
        <f>(J36/146)*31</f>
        <v>116.14383561643837</v>
      </c>
      <c r="M36" s="18">
        <v>0.82</v>
      </c>
      <c r="N36" s="18">
        <f>J36/(24*146)</f>
        <v>0.15610730593607305</v>
      </c>
      <c r="P36" s="35"/>
    </row>
    <row r="37" spans="1:16" x14ac:dyDescent="0.25">
      <c r="A37" s="34">
        <v>44962</v>
      </c>
      <c r="B37" s="3">
        <v>736.5</v>
      </c>
      <c r="C37" s="3">
        <v>150</v>
      </c>
      <c r="D37" s="3">
        <v>146</v>
      </c>
      <c r="E37" s="32">
        <f t="shared" si="0"/>
        <v>5.0445205479452051</v>
      </c>
      <c r="F37" s="4">
        <f t="shared" si="1"/>
        <v>0.21018835616438356</v>
      </c>
      <c r="I37" s="22" t="s">
        <v>28</v>
      </c>
      <c r="J37" s="25">
        <v>6772</v>
      </c>
      <c r="K37" s="23"/>
      <c r="L37" s="33">
        <f>SUM(L25:L36)</f>
        <v>1412.4931506849314</v>
      </c>
      <c r="M37" s="24">
        <v>0.80300000000000005</v>
      </c>
      <c r="N37" s="18"/>
      <c r="P37" s="35"/>
    </row>
    <row r="38" spans="1:16" x14ac:dyDescent="0.25">
      <c r="A38" s="34">
        <v>44963</v>
      </c>
      <c r="B38" s="3">
        <v>740</v>
      </c>
      <c r="C38" s="3">
        <v>150</v>
      </c>
      <c r="D38" s="3">
        <v>146</v>
      </c>
      <c r="E38" s="32">
        <f t="shared" si="0"/>
        <v>5.0684931506849313</v>
      </c>
      <c r="F38" s="4">
        <f t="shared" si="1"/>
        <v>0.21118721461187215</v>
      </c>
      <c r="L38"/>
      <c r="M38" s="33"/>
      <c r="P38" s="35"/>
    </row>
    <row r="39" spans="1:16" x14ac:dyDescent="0.25">
      <c r="A39" s="34">
        <v>44964</v>
      </c>
      <c r="B39" s="3">
        <v>469</v>
      </c>
      <c r="C39" s="3">
        <v>150</v>
      </c>
      <c r="D39" s="3">
        <v>146</v>
      </c>
      <c r="E39" s="32">
        <f t="shared" si="0"/>
        <v>3.2123287671232879</v>
      </c>
      <c r="F39" s="4">
        <f t="shared" si="1"/>
        <v>0.13384703196347031</v>
      </c>
      <c r="J39" s="5"/>
      <c r="P39" s="35"/>
    </row>
    <row r="40" spans="1:16" x14ac:dyDescent="0.25">
      <c r="A40" s="34">
        <v>44965</v>
      </c>
      <c r="B40" s="3">
        <v>617</v>
      </c>
      <c r="C40" s="3">
        <v>150</v>
      </c>
      <c r="D40" s="3">
        <v>146</v>
      </c>
      <c r="E40" s="32">
        <f>B40/D40</f>
        <v>4.2260273972602738</v>
      </c>
      <c r="F40" s="4">
        <f t="shared" si="1"/>
        <v>0.17608447488584475</v>
      </c>
      <c r="J40" s="5"/>
      <c r="P40" s="35"/>
    </row>
    <row r="41" spans="1:16" x14ac:dyDescent="0.25">
      <c r="A41" s="34">
        <v>44966</v>
      </c>
      <c r="B41" s="3">
        <v>600.9</v>
      </c>
      <c r="C41" s="3">
        <v>150</v>
      </c>
      <c r="D41" s="3">
        <v>146</v>
      </c>
      <c r="E41" s="32">
        <f t="shared" si="0"/>
        <v>4.1157534246575338</v>
      </c>
      <c r="F41" s="4">
        <f t="shared" si="1"/>
        <v>0.17148972602739726</v>
      </c>
      <c r="J41" s="5"/>
      <c r="P41" s="35"/>
    </row>
    <row r="42" spans="1:16" x14ac:dyDescent="0.25">
      <c r="A42" s="34">
        <v>44967</v>
      </c>
      <c r="B42" s="3">
        <v>695.3</v>
      </c>
      <c r="C42" s="3">
        <v>150</v>
      </c>
      <c r="D42" s="3">
        <v>146</v>
      </c>
      <c r="E42" s="32">
        <f t="shared" si="0"/>
        <v>4.7623287671232877</v>
      </c>
      <c r="F42" s="4">
        <f t="shared" si="1"/>
        <v>0.19843036529680363</v>
      </c>
      <c r="J42" s="5"/>
      <c r="P42" s="35"/>
    </row>
    <row r="43" spans="1:16" x14ac:dyDescent="0.25">
      <c r="A43" s="34">
        <v>44968</v>
      </c>
      <c r="B43" s="3">
        <v>840.3</v>
      </c>
      <c r="C43" s="3">
        <v>150</v>
      </c>
      <c r="D43" s="3">
        <v>146</v>
      </c>
      <c r="E43" s="32">
        <f t="shared" si="0"/>
        <v>5.7554794520547938</v>
      </c>
      <c r="F43" s="4">
        <f t="shared" si="1"/>
        <v>0.23981164383561643</v>
      </c>
      <c r="J43" s="5"/>
      <c r="P43" s="35"/>
    </row>
    <row r="44" spans="1:16" x14ac:dyDescent="0.25">
      <c r="A44" s="34">
        <v>44969</v>
      </c>
      <c r="B44" s="3">
        <v>530.79999999999995</v>
      </c>
      <c r="C44" s="3">
        <v>150</v>
      </c>
      <c r="D44" s="3">
        <v>146</v>
      </c>
      <c r="E44" s="32">
        <f t="shared" si="0"/>
        <v>3.635616438356164</v>
      </c>
      <c r="F44" s="4">
        <f t="shared" si="1"/>
        <v>0.15148401826484018</v>
      </c>
      <c r="J44" s="5"/>
      <c r="P44" s="35"/>
    </row>
    <row r="45" spans="1:16" x14ac:dyDescent="0.25">
      <c r="A45" s="34">
        <v>44970</v>
      </c>
      <c r="B45" s="3">
        <v>727.4</v>
      </c>
      <c r="C45" s="3">
        <v>150</v>
      </c>
      <c r="D45" s="3">
        <v>146</v>
      </c>
      <c r="E45" s="32">
        <f t="shared" si="0"/>
        <v>4.9821917808219176</v>
      </c>
      <c r="F45" s="4">
        <f t="shared" si="1"/>
        <v>0.20759132420091322</v>
      </c>
      <c r="J45" s="5"/>
      <c r="P45" s="35"/>
    </row>
    <row r="46" spans="1:16" x14ac:dyDescent="0.25">
      <c r="A46" s="34">
        <v>44971</v>
      </c>
      <c r="B46" s="3">
        <v>784.4</v>
      </c>
      <c r="C46" s="3">
        <v>150</v>
      </c>
      <c r="D46" s="3">
        <v>146</v>
      </c>
      <c r="E46" s="32">
        <f t="shared" si="0"/>
        <v>5.3726027397260276</v>
      </c>
      <c r="F46" s="4">
        <f t="shared" si="1"/>
        <v>0.22385844748858447</v>
      </c>
      <c r="J46" s="5"/>
      <c r="P46" s="35"/>
    </row>
    <row r="47" spans="1:16" x14ac:dyDescent="0.25">
      <c r="A47" s="34">
        <v>44972</v>
      </c>
      <c r="B47" s="3">
        <v>821.3</v>
      </c>
      <c r="C47" s="3">
        <v>150</v>
      </c>
      <c r="D47" s="3">
        <v>146</v>
      </c>
      <c r="E47" s="32">
        <f t="shared" si="0"/>
        <v>5.6253424657534241</v>
      </c>
      <c r="F47" s="4">
        <f t="shared" si="1"/>
        <v>0.23438926940639268</v>
      </c>
      <c r="J47" s="5"/>
      <c r="P47" s="35"/>
    </row>
    <row r="48" spans="1:16" x14ac:dyDescent="0.25">
      <c r="A48" s="34">
        <v>44973</v>
      </c>
      <c r="B48" s="3">
        <v>506.6</v>
      </c>
      <c r="C48" s="3">
        <v>150</v>
      </c>
      <c r="D48" s="3">
        <v>146</v>
      </c>
      <c r="E48" s="32">
        <f t="shared" si="0"/>
        <v>3.4698630136986304</v>
      </c>
      <c r="F48" s="4">
        <f t="shared" si="1"/>
        <v>0.14457762557077627</v>
      </c>
      <c r="J48" s="5"/>
      <c r="P48" s="35"/>
    </row>
    <row r="49" spans="1:10" x14ac:dyDescent="0.25">
      <c r="A49" s="34">
        <v>44974</v>
      </c>
      <c r="B49" s="3">
        <v>669.6</v>
      </c>
      <c r="C49" s="3">
        <v>150</v>
      </c>
      <c r="D49" s="3">
        <v>146</v>
      </c>
      <c r="E49" s="32">
        <f t="shared" si="0"/>
        <v>4.5863013698630137</v>
      </c>
      <c r="F49" s="4">
        <f t="shared" si="1"/>
        <v>0.19109589041095892</v>
      </c>
      <c r="J49" s="5"/>
    </row>
    <row r="50" spans="1:10" x14ac:dyDescent="0.25">
      <c r="A50" s="34">
        <v>44975</v>
      </c>
      <c r="B50" s="3">
        <v>574</v>
      </c>
      <c r="C50" s="3">
        <v>150</v>
      </c>
      <c r="D50" s="3">
        <v>146</v>
      </c>
      <c r="E50" s="32">
        <f t="shared" si="0"/>
        <v>3.9315068493150687</v>
      </c>
      <c r="F50" s="4">
        <f t="shared" si="1"/>
        <v>0.16381278538812785</v>
      </c>
      <c r="J50" s="5"/>
    </row>
    <row r="51" spans="1:10" x14ac:dyDescent="0.25">
      <c r="A51" s="34">
        <v>44976</v>
      </c>
      <c r="B51" s="3">
        <v>718.5</v>
      </c>
      <c r="C51" s="3">
        <v>150</v>
      </c>
      <c r="D51" s="3">
        <v>146</v>
      </c>
      <c r="E51" s="32">
        <f t="shared" si="0"/>
        <v>4.9212328767123283</v>
      </c>
      <c r="F51" s="4">
        <f t="shared" si="1"/>
        <v>0.2050513698630137</v>
      </c>
      <c r="J51" s="5"/>
    </row>
    <row r="52" spans="1:10" x14ac:dyDescent="0.25">
      <c r="A52" s="34">
        <v>44977</v>
      </c>
      <c r="B52" s="3">
        <v>749.3</v>
      </c>
      <c r="C52" s="3">
        <v>150</v>
      </c>
      <c r="D52" s="3">
        <v>146</v>
      </c>
      <c r="E52" s="32">
        <f t="shared" si="0"/>
        <v>5.1321917808219171</v>
      </c>
      <c r="F52" s="4">
        <f t="shared" si="1"/>
        <v>0.21384132420091323</v>
      </c>
      <c r="J52" s="5"/>
    </row>
    <row r="53" spans="1:10" x14ac:dyDescent="0.25">
      <c r="A53" s="34">
        <v>44978</v>
      </c>
      <c r="B53" s="3">
        <v>746.1</v>
      </c>
      <c r="C53" s="3">
        <v>150</v>
      </c>
      <c r="D53" s="3">
        <v>146</v>
      </c>
      <c r="E53" s="32">
        <f t="shared" si="0"/>
        <v>5.11027397260274</v>
      </c>
      <c r="F53" s="4">
        <f t="shared" si="1"/>
        <v>0.21292808219178083</v>
      </c>
      <c r="J53" s="5"/>
    </row>
    <row r="54" spans="1:10" x14ac:dyDescent="0.25">
      <c r="A54" s="34">
        <v>44979</v>
      </c>
      <c r="B54" s="3">
        <v>861.1</v>
      </c>
      <c r="C54" s="3">
        <v>150</v>
      </c>
      <c r="D54" s="3">
        <v>146</v>
      </c>
      <c r="E54" s="32">
        <f t="shared" si="0"/>
        <v>5.8979452054794521</v>
      </c>
      <c r="F54" s="4">
        <f t="shared" si="1"/>
        <v>0.24574771689497718</v>
      </c>
      <c r="J54" s="5"/>
    </row>
    <row r="55" spans="1:10" x14ac:dyDescent="0.25">
      <c r="A55" s="34">
        <v>44980</v>
      </c>
      <c r="B55" s="3">
        <v>602.6</v>
      </c>
      <c r="C55" s="3">
        <v>150</v>
      </c>
      <c r="D55" s="3">
        <v>146</v>
      </c>
      <c r="E55" s="32">
        <f t="shared" si="0"/>
        <v>4.1273972602739724</v>
      </c>
      <c r="F55" s="4">
        <f t="shared" si="1"/>
        <v>0.17197488584474888</v>
      </c>
      <c r="J55" s="5"/>
    </row>
    <row r="56" spans="1:10" x14ac:dyDescent="0.25">
      <c r="A56" s="34">
        <v>44981</v>
      </c>
      <c r="B56" s="3">
        <v>747.4</v>
      </c>
      <c r="C56" s="3">
        <v>150</v>
      </c>
      <c r="D56" s="3">
        <v>146</v>
      </c>
      <c r="E56" s="32">
        <f t="shared" si="0"/>
        <v>5.1191780821917803</v>
      </c>
      <c r="F56" s="4">
        <f t="shared" si="1"/>
        <v>0.21329908675799086</v>
      </c>
      <c r="J56" s="5"/>
    </row>
    <row r="57" spans="1:10" x14ac:dyDescent="0.25">
      <c r="A57" s="34">
        <v>44982</v>
      </c>
      <c r="B57" s="3">
        <v>841.2</v>
      </c>
      <c r="C57" s="3">
        <v>150</v>
      </c>
      <c r="D57" s="3">
        <v>146</v>
      </c>
      <c r="E57" s="32">
        <f t="shared" si="0"/>
        <v>5.7616438356164386</v>
      </c>
      <c r="F57" s="4">
        <f t="shared" si="1"/>
        <v>0.24006849315068493</v>
      </c>
      <c r="J57" s="5"/>
    </row>
    <row r="58" spans="1:10" x14ac:dyDescent="0.25">
      <c r="A58" s="34">
        <v>44983</v>
      </c>
      <c r="B58" s="3">
        <v>749.3</v>
      </c>
      <c r="C58" s="3">
        <v>150</v>
      </c>
      <c r="D58" s="3">
        <v>146</v>
      </c>
      <c r="E58" s="32">
        <f t="shared" si="0"/>
        <v>5.1321917808219171</v>
      </c>
      <c r="F58" s="4">
        <f t="shared" si="1"/>
        <v>0.21384132420091323</v>
      </c>
      <c r="J58" s="5"/>
    </row>
    <row r="59" spans="1:10" x14ac:dyDescent="0.25">
      <c r="A59" s="34">
        <v>44984</v>
      </c>
      <c r="B59" s="3">
        <v>805</v>
      </c>
      <c r="C59" s="3">
        <v>150</v>
      </c>
      <c r="D59" s="3">
        <v>146</v>
      </c>
      <c r="E59" s="32">
        <f t="shared" si="0"/>
        <v>5.5136986301369859</v>
      </c>
      <c r="F59" s="4">
        <f t="shared" si="1"/>
        <v>0.22973744292237444</v>
      </c>
      <c r="J59" s="5"/>
    </row>
    <row r="60" spans="1:10" x14ac:dyDescent="0.25">
      <c r="A60" s="34">
        <v>44985</v>
      </c>
      <c r="B60" s="3">
        <v>793.6</v>
      </c>
      <c r="C60" s="3">
        <v>150</v>
      </c>
      <c r="D60" s="3">
        <v>146</v>
      </c>
      <c r="E60" s="32">
        <f t="shared" si="0"/>
        <v>5.4356164383561643</v>
      </c>
      <c r="F60" s="4">
        <f t="shared" si="1"/>
        <v>0.22648401826484019</v>
      </c>
      <c r="J60" s="5"/>
    </row>
    <row r="61" spans="1:10" x14ac:dyDescent="0.25">
      <c r="A61" s="34">
        <v>44986</v>
      </c>
      <c r="B61" s="3">
        <v>794.7</v>
      </c>
      <c r="C61" s="3">
        <v>150</v>
      </c>
      <c r="D61" s="3">
        <v>146</v>
      </c>
      <c r="E61" s="32">
        <f t="shared" si="0"/>
        <v>5.4431506849315072</v>
      </c>
      <c r="F61" s="4">
        <f t="shared" si="1"/>
        <v>0.22679794520547947</v>
      </c>
      <c r="J61" s="5"/>
    </row>
    <row r="62" spans="1:10" x14ac:dyDescent="0.25">
      <c r="A62" s="34">
        <v>44987</v>
      </c>
      <c r="B62" s="3">
        <v>626.70000000000005</v>
      </c>
      <c r="C62" s="3">
        <v>150</v>
      </c>
      <c r="D62" s="3">
        <v>146</v>
      </c>
      <c r="E62" s="32">
        <f t="shared" si="0"/>
        <v>4.2924657534246577</v>
      </c>
      <c r="F62" s="4">
        <f t="shared" si="1"/>
        <v>0.17885273972602742</v>
      </c>
      <c r="J62" s="5"/>
    </row>
    <row r="63" spans="1:10" x14ac:dyDescent="0.25">
      <c r="A63" s="34">
        <v>44988</v>
      </c>
      <c r="B63" s="3">
        <v>804.2</v>
      </c>
      <c r="C63" s="3">
        <v>150</v>
      </c>
      <c r="D63" s="3">
        <v>146</v>
      </c>
      <c r="E63" s="32">
        <f t="shared" si="0"/>
        <v>5.5082191780821921</v>
      </c>
      <c r="F63" s="4">
        <f t="shared" si="1"/>
        <v>0.22950913242009133</v>
      </c>
      <c r="J63" s="5"/>
    </row>
    <row r="64" spans="1:10" x14ac:dyDescent="0.25">
      <c r="A64" s="34">
        <v>44989</v>
      </c>
      <c r="B64" s="3">
        <v>831.6</v>
      </c>
      <c r="C64" s="3">
        <v>150</v>
      </c>
      <c r="D64" s="3">
        <v>146</v>
      </c>
      <c r="E64" s="32">
        <f>B64/D64</f>
        <v>5.6958904109589046</v>
      </c>
      <c r="F64" s="4">
        <f t="shared" si="1"/>
        <v>0.23732876712328768</v>
      </c>
      <c r="J64" s="5"/>
    </row>
    <row r="65" spans="1:10" x14ac:dyDescent="0.25">
      <c r="A65" s="34">
        <v>44990</v>
      </c>
      <c r="B65" s="3">
        <v>822</v>
      </c>
      <c r="C65" s="3">
        <v>150</v>
      </c>
      <c r="D65" s="3">
        <v>146</v>
      </c>
      <c r="E65" s="32">
        <f t="shared" si="0"/>
        <v>5.6301369863013697</v>
      </c>
      <c r="F65" s="4">
        <f t="shared" si="1"/>
        <v>0.2345890410958904</v>
      </c>
      <c r="J65" s="5"/>
    </row>
    <row r="66" spans="1:10" x14ac:dyDescent="0.25">
      <c r="A66" s="34">
        <v>44991</v>
      </c>
      <c r="B66" s="3">
        <v>611.20000000000005</v>
      </c>
      <c r="C66" s="3">
        <v>150</v>
      </c>
      <c r="D66" s="3">
        <v>146</v>
      </c>
      <c r="E66" s="32">
        <f t="shared" si="0"/>
        <v>4.1863013698630143</v>
      </c>
      <c r="F66" s="4">
        <f t="shared" si="1"/>
        <v>0.17442922374429226</v>
      </c>
      <c r="J66" s="5"/>
    </row>
    <row r="67" spans="1:10" x14ac:dyDescent="0.25">
      <c r="A67" s="34">
        <v>44992</v>
      </c>
      <c r="B67" s="3">
        <v>599.1</v>
      </c>
      <c r="C67" s="3">
        <v>150</v>
      </c>
      <c r="D67" s="3">
        <v>146</v>
      </c>
      <c r="E67" s="32">
        <f t="shared" ref="E67:E130" si="3">B67/D67</f>
        <v>4.103424657534247</v>
      </c>
      <c r="F67" s="4">
        <f t="shared" ref="F67:F130" si="4">B67/(24*D67)</f>
        <v>0.17097602739726028</v>
      </c>
      <c r="J67" s="5"/>
    </row>
    <row r="68" spans="1:10" x14ac:dyDescent="0.25">
      <c r="A68" s="34">
        <v>44993</v>
      </c>
      <c r="B68" s="3">
        <v>599.29999999999995</v>
      </c>
      <c r="C68" s="3">
        <v>150</v>
      </c>
      <c r="D68" s="3">
        <v>146</v>
      </c>
      <c r="E68" s="32">
        <f t="shared" si="3"/>
        <v>4.1047945205479452</v>
      </c>
      <c r="F68" s="4">
        <f t="shared" si="4"/>
        <v>0.17103310502283103</v>
      </c>
      <c r="J68" s="5"/>
    </row>
    <row r="69" spans="1:10" x14ac:dyDescent="0.25">
      <c r="A69" s="34">
        <v>44994</v>
      </c>
      <c r="B69" s="3">
        <v>706.3</v>
      </c>
      <c r="C69" s="3">
        <v>150</v>
      </c>
      <c r="D69" s="3">
        <v>146</v>
      </c>
      <c r="E69" s="32">
        <f t="shared" si="3"/>
        <v>4.837671232876712</v>
      </c>
      <c r="F69" s="4">
        <f t="shared" si="4"/>
        <v>0.20156963470319633</v>
      </c>
      <c r="J69" s="5"/>
    </row>
    <row r="70" spans="1:10" x14ac:dyDescent="0.25">
      <c r="A70" s="34">
        <v>44995</v>
      </c>
      <c r="B70" s="3">
        <v>649</v>
      </c>
      <c r="C70" s="3">
        <v>150</v>
      </c>
      <c r="D70" s="3">
        <v>146</v>
      </c>
      <c r="E70" s="32">
        <f t="shared" si="3"/>
        <v>4.4452054794520546</v>
      </c>
      <c r="F70" s="4">
        <f t="shared" si="4"/>
        <v>0.18521689497716895</v>
      </c>
      <c r="J70" s="5"/>
    </row>
    <row r="71" spans="1:10" x14ac:dyDescent="0.25">
      <c r="A71" s="34">
        <v>44996</v>
      </c>
      <c r="B71" s="3">
        <v>517.9</v>
      </c>
      <c r="C71" s="3">
        <v>150</v>
      </c>
      <c r="D71" s="3">
        <v>146</v>
      </c>
      <c r="E71" s="32">
        <f t="shared" si="3"/>
        <v>3.5472602739726025</v>
      </c>
      <c r="F71" s="4">
        <f t="shared" si="4"/>
        <v>0.14780251141552511</v>
      </c>
      <c r="J71" s="5"/>
    </row>
    <row r="72" spans="1:10" x14ac:dyDescent="0.25">
      <c r="A72" s="34">
        <v>44997</v>
      </c>
      <c r="B72" s="3">
        <v>639.9</v>
      </c>
      <c r="C72" s="3">
        <v>150</v>
      </c>
      <c r="D72" s="3">
        <v>146</v>
      </c>
      <c r="E72" s="32">
        <f t="shared" si="3"/>
        <v>4.3828767123287671</v>
      </c>
      <c r="F72" s="4">
        <f t="shared" si="4"/>
        <v>0.18261986301369862</v>
      </c>
      <c r="J72" s="5"/>
    </row>
    <row r="73" spans="1:10" x14ac:dyDescent="0.25">
      <c r="A73" s="34">
        <v>44998</v>
      </c>
      <c r="B73" s="3">
        <v>560.1</v>
      </c>
      <c r="C73" s="3">
        <v>150</v>
      </c>
      <c r="D73" s="3">
        <v>146</v>
      </c>
      <c r="E73" s="32">
        <f t="shared" si="3"/>
        <v>3.8363013698630137</v>
      </c>
      <c r="F73" s="4">
        <f t="shared" si="4"/>
        <v>0.15984589041095892</v>
      </c>
      <c r="J73" s="5"/>
    </row>
    <row r="74" spans="1:10" x14ac:dyDescent="0.25">
      <c r="A74" s="34">
        <v>44999</v>
      </c>
      <c r="B74" s="3">
        <v>580.29999999999995</v>
      </c>
      <c r="C74" s="3">
        <v>150</v>
      </c>
      <c r="D74" s="3">
        <v>146</v>
      </c>
      <c r="E74" s="32">
        <f t="shared" si="3"/>
        <v>3.9746575342465751</v>
      </c>
      <c r="F74" s="4">
        <f t="shared" si="4"/>
        <v>0.16561073059360729</v>
      </c>
      <c r="J74" s="5"/>
    </row>
    <row r="75" spans="1:10" x14ac:dyDescent="0.25">
      <c r="A75" s="34">
        <v>45000</v>
      </c>
      <c r="B75" s="3">
        <v>791.2</v>
      </c>
      <c r="C75" s="3">
        <v>150</v>
      </c>
      <c r="D75" s="3">
        <v>146</v>
      </c>
      <c r="E75" s="32">
        <f t="shared" si="3"/>
        <v>5.419178082191781</v>
      </c>
      <c r="F75" s="4">
        <f t="shared" si="4"/>
        <v>0.22579908675799087</v>
      </c>
      <c r="J75" s="5"/>
    </row>
    <row r="76" spans="1:10" x14ac:dyDescent="0.25">
      <c r="A76" s="34">
        <v>45001</v>
      </c>
      <c r="B76" s="3">
        <v>756</v>
      </c>
      <c r="C76" s="3">
        <v>150</v>
      </c>
      <c r="D76" s="3">
        <v>146</v>
      </c>
      <c r="E76" s="32">
        <f t="shared" si="3"/>
        <v>5.1780821917808222</v>
      </c>
      <c r="F76" s="4">
        <f t="shared" si="4"/>
        <v>0.21575342465753425</v>
      </c>
      <c r="J76" s="5"/>
    </row>
    <row r="77" spans="1:10" x14ac:dyDescent="0.25">
      <c r="A77" s="34">
        <v>45002</v>
      </c>
      <c r="B77" s="3">
        <v>706.5</v>
      </c>
      <c r="C77" s="3">
        <v>150</v>
      </c>
      <c r="D77" s="3">
        <v>146</v>
      </c>
      <c r="E77" s="32">
        <f t="shared" si="3"/>
        <v>4.8390410958904111</v>
      </c>
      <c r="F77" s="4">
        <f t="shared" si="4"/>
        <v>0.20162671232876711</v>
      </c>
      <c r="J77" s="5"/>
    </row>
    <row r="78" spans="1:10" x14ac:dyDescent="0.25">
      <c r="A78" s="34">
        <v>45003</v>
      </c>
      <c r="B78" s="3">
        <v>611.20000000000005</v>
      </c>
      <c r="C78" s="3">
        <v>150</v>
      </c>
      <c r="D78" s="3">
        <v>146</v>
      </c>
      <c r="E78" s="32">
        <f t="shared" si="3"/>
        <v>4.1863013698630143</v>
      </c>
      <c r="F78" s="4">
        <f t="shared" si="4"/>
        <v>0.17442922374429226</v>
      </c>
      <c r="J78" s="5"/>
    </row>
    <row r="79" spans="1:10" x14ac:dyDescent="0.25">
      <c r="A79" s="34">
        <v>45004</v>
      </c>
      <c r="B79" s="3">
        <v>720.6</v>
      </c>
      <c r="C79" s="3">
        <v>150</v>
      </c>
      <c r="D79" s="3">
        <v>146</v>
      </c>
      <c r="E79" s="32">
        <f t="shared" si="3"/>
        <v>4.9356164383561643</v>
      </c>
      <c r="F79" s="4">
        <f t="shared" si="4"/>
        <v>0.20565068493150684</v>
      </c>
      <c r="J79" s="5"/>
    </row>
    <row r="80" spans="1:10" x14ac:dyDescent="0.25">
      <c r="A80" s="34">
        <v>45005</v>
      </c>
      <c r="B80" s="3">
        <v>599.20000000000005</v>
      </c>
      <c r="C80" s="3">
        <v>150</v>
      </c>
      <c r="D80" s="3">
        <v>146</v>
      </c>
      <c r="E80" s="32">
        <f t="shared" si="3"/>
        <v>4.1041095890410961</v>
      </c>
      <c r="F80" s="4">
        <f t="shared" si="4"/>
        <v>0.17100456621004567</v>
      </c>
      <c r="J80" s="5"/>
    </row>
    <row r="81" spans="1:10" x14ac:dyDescent="0.25">
      <c r="A81" s="34">
        <v>45006</v>
      </c>
      <c r="B81" s="3">
        <v>702.1</v>
      </c>
      <c r="C81" s="3">
        <v>150</v>
      </c>
      <c r="D81" s="3">
        <v>146</v>
      </c>
      <c r="E81" s="32">
        <f t="shared" si="3"/>
        <v>4.808904109589041</v>
      </c>
      <c r="F81" s="4">
        <f t="shared" si="4"/>
        <v>0.20037100456621004</v>
      </c>
      <c r="J81" s="5"/>
    </row>
    <row r="82" spans="1:10" x14ac:dyDescent="0.25">
      <c r="A82" s="34">
        <v>45007</v>
      </c>
      <c r="B82" s="3">
        <v>728</v>
      </c>
      <c r="C82" s="3">
        <v>150</v>
      </c>
      <c r="D82" s="3">
        <v>146</v>
      </c>
      <c r="E82" s="32">
        <f t="shared" si="3"/>
        <v>4.9863013698630141</v>
      </c>
      <c r="F82" s="4">
        <f t="shared" si="4"/>
        <v>0.20776255707762556</v>
      </c>
      <c r="J82" s="5"/>
    </row>
    <row r="83" spans="1:10" x14ac:dyDescent="0.25">
      <c r="A83" s="34">
        <v>45008</v>
      </c>
      <c r="B83" s="3">
        <v>660.5</v>
      </c>
      <c r="C83" s="3">
        <v>150</v>
      </c>
      <c r="D83" s="3">
        <v>146</v>
      </c>
      <c r="E83" s="32">
        <f t="shared" si="3"/>
        <v>4.5239726027397262</v>
      </c>
      <c r="F83" s="4">
        <f t="shared" si="4"/>
        <v>0.18849885844748859</v>
      </c>
      <c r="J83" s="5"/>
    </row>
    <row r="84" spans="1:10" x14ac:dyDescent="0.25">
      <c r="A84" s="34">
        <v>45009</v>
      </c>
      <c r="B84" s="3">
        <v>784.5</v>
      </c>
      <c r="C84" s="3">
        <v>150</v>
      </c>
      <c r="D84" s="3">
        <v>146</v>
      </c>
      <c r="E84" s="32">
        <f t="shared" si="3"/>
        <v>5.3732876712328768</v>
      </c>
      <c r="F84" s="4">
        <f t="shared" si="4"/>
        <v>0.22388698630136986</v>
      </c>
      <c r="J84" s="5"/>
    </row>
    <row r="85" spans="1:10" x14ac:dyDescent="0.25">
      <c r="A85" s="34">
        <v>45010</v>
      </c>
      <c r="B85" s="3">
        <v>722.9</v>
      </c>
      <c r="C85" s="3">
        <v>150</v>
      </c>
      <c r="D85" s="3">
        <v>146</v>
      </c>
      <c r="E85" s="32">
        <f t="shared" si="3"/>
        <v>4.9513698630136984</v>
      </c>
      <c r="F85" s="4">
        <f t="shared" si="4"/>
        <v>0.20630707762557077</v>
      </c>
      <c r="J85" s="5"/>
    </row>
    <row r="86" spans="1:10" x14ac:dyDescent="0.25">
      <c r="A86" s="34">
        <v>45011</v>
      </c>
      <c r="B86" s="3">
        <v>774</v>
      </c>
      <c r="C86" s="3">
        <v>150</v>
      </c>
      <c r="D86" s="3">
        <v>146</v>
      </c>
      <c r="E86" s="32">
        <f t="shared" si="3"/>
        <v>5.3013698630136989</v>
      </c>
      <c r="F86" s="4">
        <f t="shared" si="4"/>
        <v>0.2208904109589041</v>
      </c>
      <c r="J86" s="5"/>
    </row>
    <row r="87" spans="1:10" x14ac:dyDescent="0.25">
      <c r="A87" s="34">
        <v>45012</v>
      </c>
      <c r="B87" s="3">
        <v>654.4</v>
      </c>
      <c r="C87" s="3">
        <v>150</v>
      </c>
      <c r="D87" s="3">
        <v>146</v>
      </c>
      <c r="E87" s="32">
        <f t="shared" si="3"/>
        <v>4.4821917808219176</v>
      </c>
      <c r="F87" s="4">
        <f t="shared" si="4"/>
        <v>0.18675799086757991</v>
      </c>
      <c r="J87" s="5"/>
    </row>
    <row r="88" spans="1:10" x14ac:dyDescent="0.25">
      <c r="A88" s="34">
        <v>45013</v>
      </c>
      <c r="B88" s="3">
        <v>569.4</v>
      </c>
      <c r="C88" s="3">
        <v>150</v>
      </c>
      <c r="D88" s="3">
        <v>146</v>
      </c>
      <c r="E88" s="32">
        <f t="shared" si="3"/>
        <v>3.9</v>
      </c>
      <c r="F88" s="4">
        <f t="shared" si="4"/>
        <v>0.16250000000000001</v>
      </c>
      <c r="J88" s="5"/>
    </row>
    <row r="89" spans="1:10" x14ac:dyDescent="0.25">
      <c r="A89" s="34">
        <v>45014</v>
      </c>
      <c r="B89" s="3">
        <v>516.1</v>
      </c>
      <c r="C89" s="3">
        <v>150</v>
      </c>
      <c r="D89" s="3">
        <v>146</v>
      </c>
      <c r="E89" s="32">
        <f t="shared" si="3"/>
        <v>3.5349315068493152</v>
      </c>
      <c r="F89" s="4">
        <f t="shared" si="4"/>
        <v>0.14728881278538813</v>
      </c>
      <c r="J89" s="5"/>
    </row>
    <row r="90" spans="1:10" x14ac:dyDescent="0.25">
      <c r="A90" s="34">
        <v>45015</v>
      </c>
      <c r="B90" s="3">
        <v>768.2</v>
      </c>
      <c r="C90" s="3">
        <v>150</v>
      </c>
      <c r="D90" s="3">
        <v>146</v>
      </c>
      <c r="E90" s="32">
        <f t="shared" si="3"/>
        <v>5.2616438356164386</v>
      </c>
      <c r="F90" s="4">
        <f t="shared" si="4"/>
        <v>0.21923515981735162</v>
      </c>
      <c r="J90" s="5"/>
    </row>
    <row r="91" spans="1:10" x14ac:dyDescent="0.25">
      <c r="A91" s="34">
        <v>45016</v>
      </c>
      <c r="B91" s="3">
        <v>760.6</v>
      </c>
      <c r="C91" s="3">
        <v>150</v>
      </c>
      <c r="D91" s="3">
        <v>146</v>
      </c>
      <c r="E91" s="32">
        <f t="shared" si="3"/>
        <v>5.2095890410958905</v>
      </c>
      <c r="F91" s="4">
        <f t="shared" si="4"/>
        <v>0.21706621004566209</v>
      </c>
      <c r="J91" s="5"/>
    </row>
    <row r="92" spans="1:10" x14ac:dyDescent="0.25">
      <c r="A92" s="34">
        <v>45017</v>
      </c>
      <c r="B92" s="3">
        <v>654.5</v>
      </c>
      <c r="C92" s="3">
        <v>150</v>
      </c>
      <c r="D92" s="3">
        <v>146</v>
      </c>
      <c r="E92" s="32">
        <f t="shared" si="3"/>
        <v>4.4828767123287667</v>
      </c>
      <c r="F92" s="4">
        <f t="shared" si="4"/>
        <v>0.1867865296803653</v>
      </c>
      <c r="J92" s="5"/>
    </row>
    <row r="93" spans="1:10" x14ac:dyDescent="0.25">
      <c r="A93" s="34">
        <v>45018</v>
      </c>
      <c r="B93" s="3">
        <v>590.6</v>
      </c>
      <c r="C93" s="3">
        <v>150</v>
      </c>
      <c r="D93" s="3">
        <v>146</v>
      </c>
      <c r="E93" s="32">
        <f t="shared" si="3"/>
        <v>4.0452054794520551</v>
      </c>
      <c r="F93" s="4">
        <f t="shared" si="4"/>
        <v>0.16855022831050229</v>
      </c>
      <c r="J93" s="5"/>
    </row>
    <row r="94" spans="1:10" x14ac:dyDescent="0.25">
      <c r="A94" s="34">
        <v>45019</v>
      </c>
      <c r="B94" s="3">
        <v>506.8</v>
      </c>
      <c r="C94" s="3">
        <v>150</v>
      </c>
      <c r="D94" s="3">
        <v>146</v>
      </c>
      <c r="E94" s="32">
        <f t="shared" si="3"/>
        <v>3.4712328767123291</v>
      </c>
      <c r="F94" s="4">
        <f t="shared" si="4"/>
        <v>0.14463470319634703</v>
      </c>
      <c r="J94" s="5"/>
    </row>
    <row r="95" spans="1:10" x14ac:dyDescent="0.25">
      <c r="A95" s="34">
        <v>45020</v>
      </c>
      <c r="B95" s="3">
        <v>653.4</v>
      </c>
      <c r="C95" s="3">
        <v>150</v>
      </c>
      <c r="D95" s="3">
        <v>146</v>
      </c>
      <c r="E95" s="32">
        <f t="shared" si="3"/>
        <v>4.4753424657534246</v>
      </c>
      <c r="F95" s="4">
        <f t="shared" si="4"/>
        <v>0.18647260273972602</v>
      </c>
      <c r="J95" s="5"/>
    </row>
    <row r="96" spans="1:10" x14ac:dyDescent="0.25">
      <c r="A96" s="34">
        <v>45021</v>
      </c>
      <c r="B96" s="3">
        <v>640</v>
      </c>
      <c r="C96" s="3">
        <v>150</v>
      </c>
      <c r="D96" s="3">
        <v>146</v>
      </c>
      <c r="E96" s="32">
        <f t="shared" si="3"/>
        <v>4.3835616438356162</v>
      </c>
      <c r="F96" s="4">
        <f t="shared" si="4"/>
        <v>0.18264840182648401</v>
      </c>
      <c r="J96" s="5"/>
    </row>
    <row r="97" spans="1:10" x14ac:dyDescent="0.25">
      <c r="A97" s="34">
        <v>45022</v>
      </c>
      <c r="B97" s="3">
        <v>634</v>
      </c>
      <c r="C97" s="3">
        <v>150</v>
      </c>
      <c r="D97" s="3">
        <v>146</v>
      </c>
      <c r="E97" s="32">
        <f t="shared" si="3"/>
        <v>4.3424657534246576</v>
      </c>
      <c r="F97" s="4">
        <f t="shared" si="4"/>
        <v>0.18093607305936074</v>
      </c>
      <c r="J97" s="5"/>
    </row>
    <row r="98" spans="1:10" x14ac:dyDescent="0.25">
      <c r="A98" s="34">
        <v>45023</v>
      </c>
      <c r="B98" s="3">
        <v>489.3</v>
      </c>
      <c r="C98" s="3">
        <v>150</v>
      </c>
      <c r="D98" s="3">
        <v>146</v>
      </c>
      <c r="E98" s="32">
        <f t="shared" si="3"/>
        <v>3.3513698630136988</v>
      </c>
      <c r="F98" s="4">
        <f t="shared" si="4"/>
        <v>0.13964041095890412</v>
      </c>
      <c r="J98" s="5"/>
    </row>
    <row r="99" spans="1:10" x14ac:dyDescent="0.25">
      <c r="A99" s="34">
        <v>45024</v>
      </c>
      <c r="B99" s="3">
        <v>505.1</v>
      </c>
      <c r="C99" s="3">
        <v>150</v>
      </c>
      <c r="D99" s="3">
        <v>146</v>
      </c>
      <c r="E99" s="32">
        <f t="shared" si="3"/>
        <v>3.4595890410958905</v>
      </c>
      <c r="F99" s="4">
        <f t="shared" si="4"/>
        <v>0.14414954337899544</v>
      </c>
      <c r="J99" s="5"/>
    </row>
    <row r="100" spans="1:10" x14ac:dyDescent="0.25">
      <c r="A100" s="34">
        <v>45025</v>
      </c>
      <c r="B100" s="3">
        <v>383.6</v>
      </c>
      <c r="C100" s="3">
        <v>150</v>
      </c>
      <c r="D100" s="3">
        <v>146</v>
      </c>
      <c r="E100" s="32">
        <f t="shared" si="3"/>
        <v>2.6273972602739728</v>
      </c>
      <c r="F100" s="4">
        <f t="shared" si="4"/>
        <v>0.10947488584474886</v>
      </c>
      <c r="J100" s="5"/>
    </row>
    <row r="101" spans="1:10" x14ac:dyDescent="0.25">
      <c r="A101" s="34">
        <v>45026</v>
      </c>
      <c r="B101" s="3">
        <v>619</v>
      </c>
      <c r="C101" s="3">
        <v>150</v>
      </c>
      <c r="D101" s="3">
        <v>146</v>
      </c>
      <c r="E101" s="32">
        <f t="shared" si="3"/>
        <v>4.2397260273972606</v>
      </c>
      <c r="F101" s="4">
        <f t="shared" si="4"/>
        <v>0.17665525114155251</v>
      </c>
      <c r="J101" s="5"/>
    </row>
    <row r="102" spans="1:10" x14ac:dyDescent="0.25">
      <c r="A102" s="34">
        <v>45027</v>
      </c>
      <c r="B102" s="3">
        <v>525.6</v>
      </c>
      <c r="C102" s="3">
        <v>150</v>
      </c>
      <c r="D102" s="3">
        <v>146</v>
      </c>
      <c r="E102" s="32">
        <f t="shared" si="3"/>
        <v>3.6</v>
      </c>
      <c r="F102" s="4">
        <f t="shared" si="4"/>
        <v>0.15</v>
      </c>
      <c r="J102" s="5"/>
    </row>
    <row r="103" spans="1:10" x14ac:dyDescent="0.25">
      <c r="A103" s="34">
        <v>45028</v>
      </c>
      <c r="B103" s="3">
        <v>405.1</v>
      </c>
      <c r="C103" s="3">
        <v>150</v>
      </c>
      <c r="D103" s="3">
        <v>146</v>
      </c>
      <c r="E103" s="32">
        <f t="shared" si="3"/>
        <v>2.7746575342465754</v>
      </c>
      <c r="F103" s="4">
        <f t="shared" si="4"/>
        <v>0.11561073059360731</v>
      </c>
      <c r="J103" s="5"/>
    </row>
    <row r="104" spans="1:10" x14ac:dyDescent="0.25">
      <c r="A104" s="34">
        <v>45029</v>
      </c>
      <c r="B104" s="3">
        <v>629.79999999999995</v>
      </c>
      <c r="C104" s="3">
        <v>150</v>
      </c>
      <c r="D104" s="3">
        <v>146</v>
      </c>
      <c r="E104" s="32">
        <f t="shared" si="3"/>
        <v>4.3136986301369857</v>
      </c>
      <c r="F104" s="4">
        <f t="shared" si="4"/>
        <v>0.17973744292237442</v>
      </c>
      <c r="J104" s="5"/>
    </row>
    <row r="105" spans="1:10" x14ac:dyDescent="0.25">
      <c r="A105" s="34">
        <v>45030</v>
      </c>
      <c r="B105" s="3">
        <v>405.6</v>
      </c>
      <c r="C105" s="3">
        <v>150</v>
      </c>
      <c r="D105" s="3">
        <v>146</v>
      </c>
      <c r="E105" s="32">
        <f t="shared" si="3"/>
        <v>2.7780821917808223</v>
      </c>
      <c r="F105" s="4">
        <f t="shared" si="4"/>
        <v>0.11575342465753426</v>
      </c>
      <c r="J105" s="5"/>
    </row>
    <row r="106" spans="1:10" x14ac:dyDescent="0.25">
      <c r="A106" s="34">
        <v>45031</v>
      </c>
      <c r="B106" s="3">
        <v>572.70000000000005</v>
      </c>
      <c r="C106" s="3">
        <v>150</v>
      </c>
      <c r="D106" s="3">
        <v>146</v>
      </c>
      <c r="E106" s="32">
        <f t="shared" si="3"/>
        <v>3.9226027397260279</v>
      </c>
      <c r="F106" s="4">
        <f t="shared" si="4"/>
        <v>0.16344178082191782</v>
      </c>
      <c r="J106" s="5"/>
    </row>
    <row r="107" spans="1:10" x14ac:dyDescent="0.25">
      <c r="A107" s="34">
        <v>45032</v>
      </c>
      <c r="B107" s="3">
        <v>674.2</v>
      </c>
      <c r="C107" s="3">
        <v>150</v>
      </c>
      <c r="D107" s="3">
        <v>146</v>
      </c>
      <c r="E107" s="32">
        <f t="shared" si="3"/>
        <v>4.6178082191780829</v>
      </c>
      <c r="F107" s="4">
        <f t="shared" si="4"/>
        <v>0.19240867579908677</v>
      </c>
      <c r="J107" s="5"/>
    </row>
    <row r="108" spans="1:10" x14ac:dyDescent="0.25">
      <c r="A108" s="34">
        <v>45033</v>
      </c>
      <c r="B108" s="3">
        <v>665.6</v>
      </c>
      <c r="C108" s="3">
        <v>150</v>
      </c>
      <c r="D108" s="3">
        <v>146</v>
      </c>
      <c r="E108" s="32">
        <f t="shared" si="3"/>
        <v>4.558904109589041</v>
      </c>
      <c r="F108" s="4">
        <f t="shared" si="4"/>
        <v>0.18995433789954339</v>
      </c>
      <c r="J108" s="5"/>
    </row>
    <row r="109" spans="1:10" x14ac:dyDescent="0.25">
      <c r="A109" s="34">
        <v>45034</v>
      </c>
      <c r="B109" s="3">
        <v>623.5</v>
      </c>
      <c r="C109" s="3">
        <v>150</v>
      </c>
      <c r="D109" s="3">
        <v>146</v>
      </c>
      <c r="E109" s="32">
        <f t="shared" si="3"/>
        <v>4.2705479452054798</v>
      </c>
      <c r="F109" s="4">
        <f t="shared" si="4"/>
        <v>0.17793949771689499</v>
      </c>
      <c r="J109" s="5"/>
    </row>
    <row r="110" spans="1:10" x14ac:dyDescent="0.25">
      <c r="A110" s="34">
        <v>45035</v>
      </c>
      <c r="B110" s="3">
        <v>258.60000000000002</v>
      </c>
      <c r="C110" s="3">
        <v>150</v>
      </c>
      <c r="D110" s="3">
        <v>146</v>
      </c>
      <c r="E110" s="32">
        <f t="shared" si="3"/>
        <v>1.7712328767123289</v>
      </c>
      <c r="F110" s="4">
        <f t="shared" si="4"/>
        <v>7.3801369863013708E-2</v>
      </c>
      <c r="J110" s="5"/>
    </row>
    <row r="111" spans="1:10" x14ac:dyDescent="0.25">
      <c r="A111" s="34">
        <v>45036</v>
      </c>
      <c r="B111" s="3">
        <v>656.1</v>
      </c>
      <c r="C111" s="3">
        <v>150</v>
      </c>
      <c r="D111" s="3">
        <v>146</v>
      </c>
      <c r="E111" s="32">
        <f t="shared" si="3"/>
        <v>4.4938356164383562</v>
      </c>
      <c r="F111" s="4">
        <f t="shared" si="4"/>
        <v>0.18724315068493153</v>
      </c>
      <c r="J111" s="5"/>
    </row>
    <row r="112" spans="1:10" x14ac:dyDescent="0.25">
      <c r="A112" s="34">
        <v>45037</v>
      </c>
      <c r="B112" s="3">
        <v>509.9</v>
      </c>
      <c r="C112" s="3">
        <v>150</v>
      </c>
      <c r="D112" s="3">
        <v>146</v>
      </c>
      <c r="E112" s="32">
        <f t="shared" si="3"/>
        <v>3.4924657534246575</v>
      </c>
      <c r="F112" s="4">
        <f t="shared" si="4"/>
        <v>0.14551940639269406</v>
      </c>
      <c r="J112" s="5"/>
    </row>
    <row r="113" spans="1:10" x14ac:dyDescent="0.25">
      <c r="A113" s="34">
        <v>45038</v>
      </c>
      <c r="B113" s="3">
        <v>425.9</v>
      </c>
      <c r="C113" s="3">
        <v>150</v>
      </c>
      <c r="D113" s="3">
        <v>146</v>
      </c>
      <c r="E113" s="32">
        <f t="shared" si="3"/>
        <v>2.9171232876712327</v>
      </c>
      <c r="F113" s="4">
        <f t="shared" si="4"/>
        <v>0.12154680365296804</v>
      </c>
      <c r="J113" s="5"/>
    </row>
    <row r="114" spans="1:10" x14ac:dyDescent="0.25">
      <c r="A114" s="34">
        <v>45039</v>
      </c>
      <c r="B114" s="3">
        <v>333.1</v>
      </c>
      <c r="C114" s="3">
        <v>150</v>
      </c>
      <c r="D114" s="3">
        <v>146</v>
      </c>
      <c r="E114" s="32">
        <f t="shared" si="3"/>
        <v>2.2815068493150688</v>
      </c>
      <c r="F114" s="4">
        <f t="shared" si="4"/>
        <v>9.506278538812786E-2</v>
      </c>
      <c r="J114" s="5"/>
    </row>
    <row r="115" spans="1:10" x14ac:dyDescent="0.25">
      <c r="A115" s="34">
        <v>45040</v>
      </c>
      <c r="B115" s="3">
        <v>496.8</v>
      </c>
      <c r="C115" s="3">
        <v>150</v>
      </c>
      <c r="D115" s="3">
        <v>146</v>
      </c>
      <c r="E115" s="32">
        <f t="shared" si="3"/>
        <v>3.4027397260273973</v>
      </c>
      <c r="F115" s="4">
        <f t="shared" si="4"/>
        <v>0.14178082191780822</v>
      </c>
      <c r="J115" s="5"/>
    </row>
    <row r="116" spans="1:10" x14ac:dyDescent="0.25">
      <c r="A116" s="34">
        <v>45041</v>
      </c>
      <c r="B116" s="3">
        <v>599.20000000000005</v>
      </c>
      <c r="C116" s="3">
        <v>150</v>
      </c>
      <c r="D116" s="3">
        <v>146</v>
      </c>
      <c r="E116" s="32">
        <f t="shared" si="3"/>
        <v>4.1041095890410961</v>
      </c>
      <c r="F116" s="4">
        <f t="shared" si="4"/>
        <v>0.17100456621004567</v>
      </c>
      <c r="J116" s="5"/>
    </row>
    <row r="117" spans="1:10" x14ac:dyDescent="0.25">
      <c r="A117" s="34">
        <v>45042</v>
      </c>
      <c r="B117" s="3">
        <v>580.29999999999995</v>
      </c>
      <c r="C117" s="3">
        <v>150</v>
      </c>
      <c r="D117" s="3">
        <v>146</v>
      </c>
      <c r="E117" s="32">
        <f t="shared" si="3"/>
        <v>3.9746575342465751</v>
      </c>
      <c r="F117" s="4">
        <f t="shared" si="4"/>
        <v>0.16561073059360729</v>
      </c>
      <c r="J117" s="5"/>
    </row>
    <row r="118" spans="1:10" x14ac:dyDescent="0.25">
      <c r="A118" s="34">
        <v>45043</v>
      </c>
      <c r="B118" s="3">
        <v>544.6</v>
      </c>
      <c r="C118" s="3">
        <v>150</v>
      </c>
      <c r="D118" s="3">
        <v>146</v>
      </c>
      <c r="E118" s="32">
        <f t="shared" si="3"/>
        <v>3.7301369863013698</v>
      </c>
      <c r="F118" s="4">
        <f t="shared" si="4"/>
        <v>0.15542237442922374</v>
      </c>
      <c r="J118" s="5"/>
    </row>
    <row r="119" spans="1:10" x14ac:dyDescent="0.25">
      <c r="A119" s="34">
        <v>45044</v>
      </c>
      <c r="B119" s="3">
        <v>479.8</v>
      </c>
      <c r="C119" s="3">
        <v>150</v>
      </c>
      <c r="D119" s="3">
        <v>146</v>
      </c>
      <c r="E119" s="32">
        <f t="shared" si="3"/>
        <v>3.2863013698630139</v>
      </c>
      <c r="F119" s="4">
        <f t="shared" si="4"/>
        <v>0.13692922374429223</v>
      </c>
      <c r="J119" s="5"/>
    </row>
    <row r="120" spans="1:10" x14ac:dyDescent="0.25">
      <c r="A120" s="34">
        <v>45045</v>
      </c>
      <c r="B120" s="3">
        <v>466.7</v>
      </c>
      <c r="C120" s="3">
        <v>150</v>
      </c>
      <c r="D120" s="3">
        <v>146</v>
      </c>
      <c r="E120" s="32">
        <f t="shared" si="3"/>
        <v>3.1965753424657533</v>
      </c>
      <c r="F120" s="4">
        <f t="shared" si="4"/>
        <v>0.13319063926940639</v>
      </c>
      <c r="J120" s="5"/>
    </row>
    <row r="121" spans="1:10" x14ac:dyDescent="0.25">
      <c r="A121" s="34">
        <v>45046</v>
      </c>
      <c r="B121" s="3">
        <v>579.4</v>
      </c>
      <c r="C121" s="3">
        <v>150</v>
      </c>
      <c r="D121" s="3">
        <v>146</v>
      </c>
      <c r="E121" s="32">
        <f t="shared" si="3"/>
        <v>3.9684931506849312</v>
      </c>
      <c r="F121" s="4">
        <f t="shared" si="4"/>
        <v>0.16535388127853881</v>
      </c>
      <c r="J121" s="5"/>
    </row>
    <row r="122" spans="1:10" x14ac:dyDescent="0.25">
      <c r="A122" s="34">
        <v>45047</v>
      </c>
      <c r="B122" s="3">
        <v>605</v>
      </c>
      <c r="C122" s="3">
        <v>150</v>
      </c>
      <c r="D122" s="3">
        <v>146</v>
      </c>
      <c r="E122" s="32">
        <f t="shared" si="3"/>
        <v>4.1438356164383565</v>
      </c>
      <c r="F122" s="4">
        <f t="shared" si="4"/>
        <v>0.17265981735159816</v>
      </c>
      <c r="J122" s="5"/>
    </row>
    <row r="123" spans="1:10" x14ac:dyDescent="0.25">
      <c r="A123" s="34">
        <v>45048</v>
      </c>
      <c r="B123" s="3">
        <v>662.8</v>
      </c>
      <c r="C123" s="3">
        <v>150</v>
      </c>
      <c r="D123" s="3">
        <v>146</v>
      </c>
      <c r="E123" s="32">
        <f t="shared" si="3"/>
        <v>4.5397260273972604</v>
      </c>
      <c r="F123" s="4">
        <f t="shared" si="4"/>
        <v>0.18915525114155249</v>
      </c>
      <c r="J123" s="5"/>
    </row>
    <row r="124" spans="1:10" x14ac:dyDescent="0.25">
      <c r="A124" s="34">
        <v>45049</v>
      </c>
      <c r="B124" s="3">
        <v>606.1</v>
      </c>
      <c r="C124" s="3">
        <v>150</v>
      </c>
      <c r="D124" s="3">
        <v>146</v>
      </c>
      <c r="E124" s="32">
        <f t="shared" si="3"/>
        <v>4.1513698630136986</v>
      </c>
      <c r="F124" s="4">
        <f t="shared" si="4"/>
        <v>0.17297374429223744</v>
      </c>
      <c r="J124" s="5"/>
    </row>
    <row r="125" spans="1:10" x14ac:dyDescent="0.25">
      <c r="A125" s="34">
        <v>45050</v>
      </c>
      <c r="B125" s="3">
        <v>617.1</v>
      </c>
      <c r="C125" s="3">
        <v>150</v>
      </c>
      <c r="D125" s="3">
        <v>146</v>
      </c>
      <c r="E125" s="32">
        <f t="shared" si="3"/>
        <v>4.2267123287671238</v>
      </c>
      <c r="F125" s="4">
        <f t="shared" si="4"/>
        <v>0.17611301369863014</v>
      </c>
      <c r="J125" s="5"/>
    </row>
    <row r="126" spans="1:10" x14ac:dyDescent="0.25">
      <c r="A126" s="34">
        <v>45051</v>
      </c>
      <c r="B126" s="3">
        <v>628</v>
      </c>
      <c r="C126" s="3">
        <v>150</v>
      </c>
      <c r="D126" s="3">
        <v>146</v>
      </c>
      <c r="E126" s="32">
        <f t="shared" si="3"/>
        <v>4.3013698630136989</v>
      </c>
      <c r="F126" s="4">
        <f t="shared" si="4"/>
        <v>0.17922374429223745</v>
      </c>
      <c r="J126" s="5"/>
    </row>
    <row r="127" spans="1:10" x14ac:dyDescent="0.25">
      <c r="A127" s="34">
        <v>45052</v>
      </c>
      <c r="B127" s="3">
        <v>566.4</v>
      </c>
      <c r="C127" s="3">
        <v>150</v>
      </c>
      <c r="D127" s="3">
        <v>146</v>
      </c>
      <c r="E127" s="32">
        <f t="shared" si="3"/>
        <v>3.8794520547945206</v>
      </c>
      <c r="F127" s="4">
        <f t="shared" si="4"/>
        <v>0.16164383561643836</v>
      </c>
      <c r="J127" s="5"/>
    </row>
    <row r="128" spans="1:10" x14ac:dyDescent="0.25">
      <c r="A128" s="34">
        <v>45053</v>
      </c>
      <c r="B128" s="3">
        <v>489.5</v>
      </c>
      <c r="C128" s="3">
        <v>150</v>
      </c>
      <c r="D128" s="3">
        <v>146</v>
      </c>
      <c r="E128" s="32">
        <f t="shared" si="3"/>
        <v>3.3527397260273974</v>
      </c>
      <c r="F128" s="4">
        <f t="shared" si="4"/>
        <v>0.13969748858447489</v>
      </c>
      <c r="J128" s="5"/>
    </row>
    <row r="129" spans="1:10" x14ac:dyDescent="0.25">
      <c r="A129" s="34">
        <v>45054</v>
      </c>
      <c r="B129" s="3">
        <v>564</v>
      </c>
      <c r="C129" s="3">
        <v>150</v>
      </c>
      <c r="D129" s="3">
        <v>146</v>
      </c>
      <c r="E129" s="32">
        <f t="shared" si="3"/>
        <v>3.8630136986301369</v>
      </c>
      <c r="F129" s="4">
        <f t="shared" si="4"/>
        <v>0.16095890410958905</v>
      </c>
      <c r="J129" s="5"/>
    </row>
    <row r="130" spans="1:10" x14ac:dyDescent="0.25">
      <c r="A130" s="34">
        <v>45055</v>
      </c>
      <c r="B130" s="3">
        <v>589.6</v>
      </c>
      <c r="C130" s="3">
        <v>150</v>
      </c>
      <c r="D130" s="3">
        <v>146</v>
      </c>
      <c r="E130" s="32">
        <f t="shared" si="3"/>
        <v>4.0383561643835622</v>
      </c>
      <c r="F130" s="4">
        <f t="shared" si="4"/>
        <v>0.1682648401826484</v>
      </c>
      <c r="J130" s="5"/>
    </row>
    <row r="131" spans="1:10" x14ac:dyDescent="0.25">
      <c r="A131" s="34">
        <v>45056</v>
      </c>
      <c r="B131" s="3">
        <v>407.4</v>
      </c>
      <c r="C131" s="3">
        <v>150</v>
      </c>
      <c r="D131" s="3">
        <v>146</v>
      </c>
      <c r="E131" s="32">
        <f t="shared" ref="E131:E194" si="5">B131/D131</f>
        <v>2.7904109589041095</v>
      </c>
      <c r="F131" s="4">
        <f t="shared" ref="F131:F194" si="6">B131/(24*D131)</f>
        <v>0.11626712328767122</v>
      </c>
      <c r="J131" s="5"/>
    </row>
    <row r="132" spans="1:10" x14ac:dyDescent="0.25">
      <c r="A132" s="34">
        <v>45057</v>
      </c>
      <c r="B132" s="3">
        <v>582.9</v>
      </c>
      <c r="C132" s="3">
        <v>150</v>
      </c>
      <c r="D132" s="3">
        <v>146</v>
      </c>
      <c r="E132" s="32">
        <f t="shared" si="5"/>
        <v>3.9924657534246575</v>
      </c>
      <c r="F132" s="4">
        <f t="shared" si="6"/>
        <v>0.1663527397260274</v>
      </c>
      <c r="J132" s="5"/>
    </row>
    <row r="133" spans="1:10" x14ac:dyDescent="0.25">
      <c r="A133" s="34">
        <v>45058</v>
      </c>
      <c r="B133" s="3">
        <v>521.20000000000005</v>
      </c>
      <c r="C133" s="3">
        <v>150</v>
      </c>
      <c r="D133" s="3">
        <v>146</v>
      </c>
      <c r="E133" s="32">
        <f t="shared" si="5"/>
        <v>3.5698630136986305</v>
      </c>
      <c r="F133" s="4">
        <f t="shared" si="6"/>
        <v>0.14874429223744293</v>
      </c>
      <c r="J133" s="5"/>
    </row>
    <row r="134" spans="1:10" x14ac:dyDescent="0.25">
      <c r="A134" s="34">
        <v>45059</v>
      </c>
      <c r="B134" s="3">
        <v>467.6</v>
      </c>
      <c r="C134" s="3">
        <v>150</v>
      </c>
      <c r="D134" s="3">
        <v>146</v>
      </c>
      <c r="E134" s="32">
        <f t="shared" si="5"/>
        <v>3.2027397260273975</v>
      </c>
      <c r="F134" s="4">
        <f t="shared" si="6"/>
        <v>0.13344748858447489</v>
      </c>
      <c r="J134" s="5"/>
    </row>
    <row r="135" spans="1:10" x14ac:dyDescent="0.25">
      <c r="A135" s="34">
        <v>45060</v>
      </c>
      <c r="B135" s="3">
        <v>546.70000000000005</v>
      </c>
      <c r="C135" s="3">
        <v>150</v>
      </c>
      <c r="D135" s="3">
        <v>146</v>
      </c>
      <c r="E135" s="32">
        <f>B135/D135</f>
        <v>3.7445205479452057</v>
      </c>
      <c r="F135" s="4">
        <f t="shared" si="6"/>
        <v>0.15602168949771691</v>
      </c>
      <c r="J135" s="5"/>
    </row>
    <row r="136" spans="1:10" x14ac:dyDescent="0.25">
      <c r="A136" s="34">
        <v>45061</v>
      </c>
      <c r="B136" s="3">
        <v>583.20000000000005</v>
      </c>
      <c r="C136" s="3">
        <v>150</v>
      </c>
      <c r="D136" s="3">
        <v>146</v>
      </c>
      <c r="E136" s="32">
        <f t="shared" si="5"/>
        <v>3.9945205479452057</v>
      </c>
      <c r="F136" s="4">
        <f t="shared" si="6"/>
        <v>0.16643835616438357</v>
      </c>
      <c r="J136" s="5"/>
    </row>
    <row r="137" spans="1:10" x14ac:dyDescent="0.25">
      <c r="A137" s="34">
        <v>45062</v>
      </c>
      <c r="B137" s="3">
        <v>590.79999999999995</v>
      </c>
      <c r="C137" s="3">
        <v>150</v>
      </c>
      <c r="D137" s="3">
        <v>146</v>
      </c>
      <c r="E137" s="32">
        <f t="shared" si="5"/>
        <v>4.0465753424657533</v>
      </c>
      <c r="F137" s="4">
        <f t="shared" si="6"/>
        <v>0.16860730593607304</v>
      </c>
      <c r="J137" s="5"/>
    </row>
    <row r="138" spans="1:10" x14ac:dyDescent="0.25">
      <c r="A138" s="34">
        <v>45063</v>
      </c>
      <c r="B138" s="3">
        <v>591.79999999999995</v>
      </c>
      <c r="C138" s="3">
        <v>150</v>
      </c>
      <c r="D138" s="3">
        <v>146</v>
      </c>
      <c r="E138" s="32">
        <f t="shared" si="5"/>
        <v>4.0534246575342463</v>
      </c>
      <c r="F138" s="4">
        <f t="shared" si="6"/>
        <v>0.16889269406392693</v>
      </c>
      <c r="J138" s="5"/>
    </row>
    <row r="139" spans="1:10" x14ac:dyDescent="0.25">
      <c r="A139" s="34">
        <v>45064</v>
      </c>
      <c r="B139" s="3">
        <v>589.1</v>
      </c>
      <c r="C139" s="3">
        <v>150</v>
      </c>
      <c r="D139" s="3">
        <v>146</v>
      </c>
      <c r="E139" s="32">
        <f t="shared" si="5"/>
        <v>4.0349315068493148</v>
      </c>
      <c r="F139" s="4">
        <f t="shared" si="6"/>
        <v>0.16812214611872148</v>
      </c>
      <c r="J139" s="5"/>
    </row>
    <row r="140" spans="1:10" x14ac:dyDescent="0.25">
      <c r="A140" s="34">
        <v>45065</v>
      </c>
      <c r="B140" s="3">
        <v>591.20000000000005</v>
      </c>
      <c r="C140" s="3">
        <v>150</v>
      </c>
      <c r="D140" s="3">
        <v>146</v>
      </c>
      <c r="E140" s="32">
        <f t="shared" si="5"/>
        <v>4.0493150684931507</v>
      </c>
      <c r="F140" s="4">
        <f t="shared" si="6"/>
        <v>0.16872146118721462</v>
      </c>
      <c r="J140" s="5"/>
    </row>
    <row r="141" spans="1:10" x14ac:dyDescent="0.25">
      <c r="A141" s="34">
        <v>45066</v>
      </c>
      <c r="B141" s="3">
        <v>586.9</v>
      </c>
      <c r="C141" s="3">
        <v>150</v>
      </c>
      <c r="D141" s="3">
        <v>146</v>
      </c>
      <c r="E141" s="32">
        <f t="shared" si="5"/>
        <v>4.0198630136986298</v>
      </c>
      <c r="F141" s="4">
        <f t="shared" si="6"/>
        <v>0.16749429223744292</v>
      </c>
      <c r="J141" s="5"/>
    </row>
    <row r="142" spans="1:10" x14ac:dyDescent="0.25">
      <c r="A142" s="34">
        <v>45067</v>
      </c>
      <c r="B142" s="3">
        <v>543.9</v>
      </c>
      <c r="C142" s="3">
        <v>150</v>
      </c>
      <c r="D142" s="3">
        <v>146</v>
      </c>
      <c r="E142" s="32">
        <f t="shared" si="5"/>
        <v>3.7253424657534246</v>
      </c>
      <c r="F142" s="4">
        <f t="shared" si="6"/>
        <v>0.15522260273972602</v>
      </c>
      <c r="J142" s="5"/>
    </row>
    <row r="143" spans="1:10" x14ac:dyDescent="0.25">
      <c r="A143" s="34">
        <v>45068</v>
      </c>
      <c r="B143" s="3">
        <v>482.8</v>
      </c>
      <c r="C143" s="3">
        <v>150</v>
      </c>
      <c r="D143" s="3">
        <v>146</v>
      </c>
      <c r="E143" s="32">
        <f t="shared" si="5"/>
        <v>3.3068493150684932</v>
      </c>
      <c r="F143" s="4">
        <f t="shared" si="6"/>
        <v>0.13778538812785388</v>
      </c>
      <c r="J143" s="5"/>
    </row>
    <row r="144" spans="1:10" x14ac:dyDescent="0.25">
      <c r="A144" s="34">
        <v>45069</v>
      </c>
      <c r="B144" s="3">
        <v>357</v>
      </c>
      <c r="C144" s="3">
        <v>150</v>
      </c>
      <c r="D144" s="3">
        <v>146</v>
      </c>
      <c r="E144" s="32">
        <f t="shared" si="5"/>
        <v>2.4452054794520546</v>
      </c>
      <c r="F144" s="4">
        <f t="shared" si="6"/>
        <v>0.10188356164383562</v>
      </c>
      <c r="J144" s="5"/>
    </row>
    <row r="145" spans="1:10" x14ac:dyDescent="0.25">
      <c r="A145" s="34">
        <v>45070</v>
      </c>
      <c r="B145" s="3">
        <v>302.2</v>
      </c>
      <c r="C145" s="3">
        <v>150</v>
      </c>
      <c r="D145" s="3">
        <v>146</v>
      </c>
      <c r="E145" s="32">
        <f t="shared" si="5"/>
        <v>2.06986301369863</v>
      </c>
      <c r="F145" s="4">
        <f t="shared" si="6"/>
        <v>8.6244292237442913E-2</v>
      </c>
      <c r="J145" s="5"/>
    </row>
    <row r="146" spans="1:10" x14ac:dyDescent="0.25">
      <c r="A146" s="34">
        <v>45071</v>
      </c>
      <c r="B146" s="3">
        <v>348.2</v>
      </c>
      <c r="C146" s="3">
        <v>150</v>
      </c>
      <c r="D146" s="3">
        <v>146</v>
      </c>
      <c r="E146" s="32">
        <f t="shared" si="5"/>
        <v>2.3849315068493149</v>
      </c>
      <c r="F146" s="4">
        <f t="shared" si="6"/>
        <v>9.9372146118721458E-2</v>
      </c>
      <c r="J146" s="5"/>
    </row>
    <row r="147" spans="1:10" x14ac:dyDescent="0.25">
      <c r="A147" s="34">
        <v>45072</v>
      </c>
      <c r="B147" s="3">
        <v>530.20000000000005</v>
      </c>
      <c r="C147" s="3">
        <v>150</v>
      </c>
      <c r="D147" s="3">
        <v>146</v>
      </c>
      <c r="E147" s="32">
        <f t="shared" si="5"/>
        <v>3.6315068493150688</v>
      </c>
      <c r="F147" s="4">
        <f t="shared" si="6"/>
        <v>0.15131278538812787</v>
      </c>
      <c r="J147" s="5"/>
    </row>
    <row r="148" spans="1:10" x14ac:dyDescent="0.25">
      <c r="A148" s="34">
        <v>45073</v>
      </c>
      <c r="B148" s="3">
        <v>549.4</v>
      </c>
      <c r="C148" s="3">
        <v>150</v>
      </c>
      <c r="D148" s="3">
        <v>146</v>
      </c>
      <c r="E148" s="32">
        <f t="shared" si="5"/>
        <v>3.7630136986301368</v>
      </c>
      <c r="F148" s="4">
        <f t="shared" si="6"/>
        <v>0.15679223744292237</v>
      </c>
      <c r="J148" s="5"/>
    </row>
    <row r="149" spans="1:10" x14ac:dyDescent="0.25">
      <c r="A149" s="34">
        <v>45074</v>
      </c>
      <c r="B149" s="3">
        <v>507.4</v>
      </c>
      <c r="C149" s="3">
        <v>150</v>
      </c>
      <c r="D149" s="3">
        <v>146</v>
      </c>
      <c r="E149" s="32">
        <f t="shared" si="5"/>
        <v>3.4753424657534246</v>
      </c>
      <c r="F149" s="4">
        <f t="shared" si="6"/>
        <v>0.14480593607305936</v>
      </c>
      <c r="J149" s="5"/>
    </row>
    <row r="150" spans="1:10" x14ac:dyDescent="0.25">
      <c r="A150" s="34">
        <v>45075</v>
      </c>
      <c r="B150" s="3">
        <v>168.3</v>
      </c>
      <c r="C150" s="3">
        <v>150</v>
      </c>
      <c r="D150" s="3">
        <v>146</v>
      </c>
      <c r="E150" s="32">
        <f t="shared" si="5"/>
        <v>1.1527397260273973</v>
      </c>
      <c r="F150" s="4">
        <f t="shared" si="6"/>
        <v>4.803082191780822E-2</v>
      </c>
      <c r="J150" s="5"/>
    </row>
    <row r="151" spans="1:10" x14ac:dyDescent="0.25">
      <c r="A151" s="34">
        <v>45076</v>
      </c>
      <c r="B151" s="3">
        <v>395.3</v>
      </c>
      <c r="C151" s="3">
        <v>150</v>
      </c>
      <c r="D151" s="3">
        <v>146</v>
      </c>
      <c r="E151" s="32">
        <f t="shared" si="5"/>
        <v>2.7075342465753427</v>
      </c>
      <c r="F151" s="4">
        <f t="shared" si="6"/>
        <v>0.11281392694063927</v>
      </c>
      <c r="J151" s="5"/>
    </row>
    <row r="152" spans="1:10" x14ac:dyDescent="0.25">
      <c r="A152" s="34">
        <v>45077</v>
      </c>
      <c r="B152" s="3">
        <v>396.9</v>
      </c>
      <c r="C152" s="3">
        <v>150</v>
      </c>
      <c r="D152" s="3">
        <v>146</v>
      </c>
      <c r="E152" s="32">
        <f t="shared" si="5"/>
        <v>2.7184931506849312</v>
      </c>
      <c r="F152" s="4">
        <f t="shared" si="6"/>
        <v>0.11327054794520547</v>
      </c>
      <c r="J152" s="5"/>
    </row>
    <row r="153" spans="1:10" x14ac:dyDescent="0.25">
      <c r="A153" s="34">
        <v>45078</v>
      </c>
      <c r="B153" s="3">
        <v>433.7</v>
      </c>
      <c r="C153" s="3">
        <v>150</v>
      </c>
      <c r="D153" s="3">
        <v>146</v>
      </c>
      <c r="E153" s="32">
        <f t="shared" si="5"/>
        <v>2.9705479452054795</v>
      </c>
      <c r="F153" s="4">
        <f t="shared" si="6"/>
        <v>0.12377283105022831</v>
      </c>
      <c r="J153" s="5"/>
    </row>
    <row r="154" spans="1:10" x14ac:dyDescent="0.25">
      <c r="A154" s="34">
        <v>45079</v>
      </c>
      <c r="B154" s="3">
        <v>513.29999999999995</v>
      </c>
      <c r="C154" s="3">
        <v>150</v>
      </c>
      <c r="D154" s="3">
        <v>146</v>
      </c>
      <c r="E154" s="32">
        <f t="shared" si="5"/>
        <v>3.5157534246575342</v>
      </c>
      <c r="F154" s="4">
        <f t="shared" si="6"/>
        <v>0.14648972602739724</v>
      </c>
      <c r="J154" s="5"/>
    </row>
    <row r="155" spans="1:10" x14ac:dyDescent="0.25">
      <c r="A155" s="34">
        <v>45080</v>
      </c>
      <c r="B155" s="3">
        <v>504.9</v>
      </c>
      <c r="C155" s="3">
        <v>150</v>
      </c>
      <c r="D155" s="3">
        <v>146</v>
      </c>
      <c r="E155" s="32">
        <f t="shared" si="5"/>
        <v>3.4582191780821918</v>
      </c>
      <c r="F155" s="4">
        <f t="shared" si="6"/>
        <v>0.14409246575342466</v>
      </c>
      <c r="J155" s="5"/>
    </row>
    <row r="156" spans="1:10" x14ac:dyDescent="0.25">
      <c r="A156" s="34">
        <v>45081</v>
      </c>
      <c r="B156" s="3">
        <v>511.9</v>
      </c>
      <c r="C156" s="3">
        <v>150</v>
      </c>
      <c r="D156" s="3">
        <v>146</v>
      </c>
      <c r="E156" s="32">
        <f t="shared" si="5"/>
        <v>3.5061643835616438</v>
      </c>
      <c r="F156" s="4">
        <f t="shared" si="6"/>
        <v>0.14609018264840182</v>
      </c>
      <c r="J156" s="5"/>
    </row>
    <row r="157" spans="1:10" x14ac:dyDescent="0.25">
      <c r="A157" s="34">
        <v>45082</v>
      </c>
      <c r="B157" s="3">
        <v>522.79999999999995</v>
      </c>
      <c r="C157" s="3">
        <v>150</v>
      </c>
      <c r="D157" s="3">
        <v>146</v>
      </c>
      <c r="E157" s="32">
        <f t="shared" si="5"/>
        <v>3.580821917808219</v>
      </c>
      <c r="F157" s="4">
        <f t="shared" si="6"/>
        <v>0.14920091324200913</v>
      </c>
      <c r="J157" s="5"/>
    </row>
    <row r="158" spans="1:10" x14ac:dyDescent="0.25">
      <c r="A158" s="34">
        <v>45083</v>
      </c>
      <c r="B158" s="3">
        <v>505.7</v>
      </c>
      <c r="C158" s="3">
        <v>150</v>
      </c>
      <c r="D158" s="3">
        <v>146</v>
      </c>
      <c r="E158" s="32">
        <f t="shared" si="5"/>
        <v>3.4636986301369861</v>
      </c>
      <c r="F158" s="4">
        <f t="shared" si="6"/>
        <v>0.14432077625570777</v>
      </c>
      <c r="J158" s="5"/>
    </row>
    <row r="159" spans="1:10" x14ac:dyDescent="0.25">
      <c r="A159" s="34">
        <v>45084</v>
      </c>
      <c r="B159" s="3">
        <v>514.29999999999995</v>
      </c>
      <c r="C159" s="3">
        <v>150</v>
      </c>
      <c r="D159" s="3">
        <v>146</v>
      </c>
      <c r="E159" s="32">
        <f t="shared" si="5"/>
        <v>3.5226027397260271</v>
      </c>
      <c r="F159" s="4">
        <f t="shared" si="6"/>
        <v>0.14677511415525113</v>
      </c>
      <c r="J159" s="5"/>
    </row>
    <row r="160" spans="1:10" x14ac:dyDescent="0.25">
      <c r="A160" s="34">
        <v>45085</v>
      </c>
      <c r="B160" s="3">
        <v>514.29999999999995</v>
      </c>
      <c r="C160" s="3">
        <v>150</v>
      </c>
      <c r="D160" s="3">
        <v>146</v>
      </c>
      <c r="E160" s="32">
        <f t="shared" si="5"/>
        <v>3.5226027397260271</v>
      </c>
      <c r="F160" s="4">
        <f t="shared" si="6"/>
        <v>0.14677511415525113</v>
      </c>
      <c r="J160" s="5"/>
    </row>
    <row r="161" spans="1:10" x14ac:dyDescent="0.25">
      <c r="A161" s="34">
        <v>45086</v>
      </c>
      <c r="B161" s="3">
        <v>484.9</v>
      </c>
      <c r="C161" s="3">
        <v>150</v>
      </c>
      <c r="D161" s="3">
        <v>146</v>
      </c>
      <c r="E161" s="32">
        <f t="shared" si="5"/>
        <v>3.3212328767123287</v>
      </c>
      <c r="F161" s="4">
        <f t="shared" si="6"/>
        <v>0.13838470319634702</v>
      </c>
      <c r="J161" s="5"/>
    </row>
    <row r="162" spans="1:10" x14ac:dyDescent="0.25">
      <c r="A162" s="34">
        <v>45087</v>
      </c>
      <c r="B162" s="3">
        <v>479</v>
      </c>
      <c r="C162" s="3">
        <v>150</v>
      </c>
      <c r="D162" s="3">
        <v>146</v>
      </c>
      <c r="E162" s="32">
        <f t="shared" si="5"/>
        <v>3.2808219178082192</v>
      </c>
      <c r="F162" s="4">
        <f t="shared" si="6"/>
        <v>0.13670091324200914</v>
      </c>
      <c r="J162" s="5"/>
    </row>
    <row r="163" spans="1:10" x14ac:dyDescent="0.25">
      <c r="A163" s="34">
        <v>45088</v>
      </c>
      <c r="B163" s="3">
        <v>449.3</v>
      </c>
      <c r="C163" s="3">
        <v>150</v>
      </c>
      <c r="D163" s="3">
        <v>146</v>
      </c>
      <c r="E163" s="32">
        <f t="shared" si="5"/>
        <v>3.0773972602739725</v>
      </c>
      <c r="F163" s="4">
        <f t="shared" si="6"/>
        <v>0.12822488584474886</v>
      </c>
      <c r="J163" s="5"/>
    </row>
    <row r="164" spans="1:10" x14ac:dyDescent="0.25">
      <c r="A164" s="34">
        <v>45089</v>
      </c>
      <c r="B164" s="3">
        <v>423.1</v>
      </c>
      <c r="C164" s="3">
        <v>150</v>
      </c>
      <c r="D164" s="3">
        <v>146</v>
      </c>
      <c r="E164" s="32">
        <f t="shared" si="5"/>
        <v>2.8979452054794521</v>
      </c>
      <c r="F164" s="4">
        <f t="shared" si="6"/>
        <v>0.12074771689497718</v>
      </c>
      <c r="J164" s="5"/>
    </row>
    <row r="165" spans="1:10" x14ac:dyDescent="0.25">
      <c r="A165" s="34">
        <v>45090</v>
      </c>
      <c r="B165" s="3">
        <v>463.3</v>
      </c>
      <c r="C165" s="3">
        <v>150</v>
      </c>
      <c r="D165" s="3">
        <v>146</v>
      </c>
      <c r="E165" s="32">
        <f t="shared" si="5"/>
        <v>3.1732876712328766</v>
      </c>
      <c r="F165" s="4">
        <f t="shared" si="6"/>
        <v>0.13222031963470321</v>
      </c>
      <c r="J165" s="5"/>
    </row>
    <row r="166" spans="1:10" x14ac:dyDescent="0.25">
      <c r="A166" s="34">
        <v>45091</v>
      </c>
      <c r="B166" s="3">
        <v>429.8</v>
      </c>
      <c r="C166" s="3">
        <v>150</v>
      </c>
      <c r="D166" s="3">
        <v>146</v>
      </c>
      <c r="E166" s="32">
        <f t="shared" si="5"/>
        <v>2.9438356164383563</v>
      </c>
      <c r="F166" s="4">
        <f t="shared" si="6"/>
        <v>0.12265981735159817</v>
      </c>
      <c r="J166" s="5"/>
    </row>
    <row r="167" spans="1:10" x14ac:dyDescent="0.25">
      <c r="A167" s="34">
        <v>45092</v>
      </c>
      <c r="B167" s="3">
        <v>428.5</v>
      </c>
      <c r="C167" s="3">
        <v>150</v>
      </c>
      <c r="D167" s="3">
        <v>146</v>
      </c>
      <c r="E167" s="32">
        <f t="shared" si="5"/>
        <v>2.9349315068493151</v>
      </c>
      <c r="F167" s="4">
        <f t="shared" si="6"/>
        <v>0.12228881278538813</v>
      </c>
      <c r="J167" s="5"/>
    </row>
    <row r="168" spans="1:10" x14ac:dyDescent="0.25">
      <c r="A168" s="34">
        <v>45093</v>
      </c>
      <c r="B168" s="3">
        <v>424.8</v>
      </c>
      <c r="C168" s="3">
        <v>150</v>
      </c>
      <c r="D168" s="3">
        <v>146</v>
      </c>
      <c r="E168" s="32">
        <f t="shared" si="5"/>
        <v>2.9095890410958907</v>
      </c>
      <c r="F168" s="4">
        <f t="shared" si="6"/>
        <v>0.12123287671232877</v>
      </c>
      <c r="J168" s="5"/>
    </row>
    <row r="169" spans="1:10" x14ac:dyDescent="0.25">
      <c r="A169" s="34">
        <v>45094</v>
      </c>
      <c r="B169" s="3">
        <v>201.9</v>
      </c>
      <c r="C169" s="3">
        <v>150</v>
      </c>
      <c r="D169" s="3">
        <v>146</v>
      </c>
      <c r="E169" s="32">
        <f t="shared" si="5"/>
        <v>1.3828767123287671</v>
      </c>
      <c r="F169" s="4">
        <f t="shared" si="6"/>
        <v>5.7619863013698633E-2</v>
      </c>
      <c r="J169" s="5"/>
    </row>
    <row r="170" spans="1:10" x14ac:dyDescent="0.25">
      <c r="A170" s="34">
        <v>45095</v>
      </c>
      <c r="B170" s="3">
        <v>472.8</v>
      </c>
      <c r="C170" s="3">
        <v>150</v>
      </c>
      <c r="D170" s="3">
        <v>146</v>
      </c>
      <c r="E170" s="32">
        <f t="shared" si="5"/>
        <v>3.2383561643835619</v>
      </c>
      <c r="F170" s="4">
        <f t="shared" si="6"/>
        <v>0.13493150684931507</v>
      </c>
      <c r="J170" s="5"/>
    </row>
    <row r="171" spans="1:10" x14ac:dyDescent="0.25">
      <c r="A171" s="34">
        <v>45096</v>
      </c>
      <c r="B171" s="3">
        <v>488.7</v>
      </c>
      <c r="C171" s="3">
        <v>150</v>
      </c>
      <c r="D171" s="3">
        <v>146</v>
      </c>
      <c r="E171" s="32">
        <f t="shared" si="5"/>
        <v>3.3472602739726027</v>
      </c>
      <c r="F171" s="4">
        <f t="shared" si="6"/>
        <v>0.13946917808219178</v>
      </c>
      <c r="J171" s="5"/>
    </row>
    <row r="172" spans="1:10" x14ac:dyDescent="0.25">
      <c r="A172" s="34">
        <v>45097</v>
      </c>
      <c r="B172" s="3">
        <v>418</v>
      </c>
      <c r="C172" s="3">
        <v>150</v>
      </c>
      <c r="D172" s="3">
        <v>146</v>
      </c>
      <c r="E172" s="32">
        <f t="shared" si="5"/>
        <v>2.8630136986301369</v>
      </c>
      <c r="F172" s="4">
        <f t="shared" si="6"/>
        <v>0.11929223744292237</v>
      </c>
      <c r="J172" s="5"/>
    </row>
    <row r="173" spans="1:10" x14ac:dyDescent="0.25">
      <c r="A173" s="34">
        <v>45098</v>
      </c>
      <c r="B173" s="3">
        <v>449.1</v>
      </c>
      <c r="C173" s="3">
        <v>150</v>
      </c>
      <c r="D173" s="3">
        <v>146</v>
      </c>
      <c r="E173" s="32">
        <f t="shared" si="5"/>
        <v>3.0760273972602743</v>
      </c>
      <c r="F173" s="4">
        <f t="shared" si="6"/>
        <v>0.12816780821917809</v>
      </c>
      <c r="J173" s="5"/>
    </row>
    <row r="174" spans="1:10" x14ac:dyDescent="0.25">
      <c r="A174" s="34">
        <v>45099</v>
      </c>
      <c r="B174" s="3">
        <v>481</v>
      </c>
      <c r="C174" s="3">
        <v>150</v>
      </c>
      <c r="D174" s="3">
        <v>146</v>
      </c>
      <c r="E174" s="32">
        <f t="shared" si="5"/>
        <v>3.2945205479452055</v>
      </c>
      <c r="F174" s="4">
        <f t="shared" si="6"/>
        <v>0.1372716894977169</v>
      </c>
      <c r="J174" s="5"/>
    </row>
    <row r="175" spans="1:10" x14ac:dyDescent="0.25">
      <c r="A175" s="34">
        <v>45100</v>
      </c>
      <c r="B175" s="3">
        <v>466.4</v>
      </c>
      <c r="C175" s="3">
        <v>150</v>
      </c>
      <c r="D175" s="3">
        <v>146</v>
      </c>
      <c r="E175" s="32">
        <f t="shared" si="5"/>
        <v>3.1945205479452055</v>
      </c>
      <c r="F175" s="4">
        <f t="shared" si="6"/>
        <v>0.13310502283105022</v>
      </c>
      <c r="J175" s="5"/>
    </row>
    <row r="176" spans="1:10" x14ac:dyDescent="0.25">
      <c r="A176" s="34">
        <v>45101</v>
      </c>
      <c r="B176" s="3">
        <v>398.2</v>
      </c>
      <c r="C176" s="3">
        <v>150</v>
      </c>
      <c r="D176" s="3">
        <v>146</v>
      </c>
      <c r="E176" s="32">
        <f t="shared" si="5"/>
        <v>2.7273972602739724</v>
      </c>
      <c r="F176" s="4">
        <f t="shared" si="6"/>
        <v>0.11364155251141553</v>
      </c>
      <c r="J176" s="5"/>
    </row>
    <row r="177" spans="1:10" x14ac:dyDescent="0.25">
      <c r="A177" s="34">
        <v>45102</v>
      </c>
      <c r="B177" s="3">
        <v>240.1</v>
      </c>
      <c r="C177" s="3">
        <v>150</v>
      </c>
      <c r="D177" s="3">
        <v>146</v>
      </c>
      <c r="E177" s="32">
        <f t="shared" si="5"/>
        <v>1.6445205479452054</v>
      </c>
      <c r="F177" s="4">
        <f t="shared" si="6"/>
        <v>6.8521689497716892E-2</v>
      </c>
      <c r="J177" s="5"/>
    </row>
    <row r="178" spans="1:10" x14ac:dyDescent="0.25">
      <c r="A178" s="34">
        <v>45103</v>
      </c>
      <c r="B178" s="3">
        <v>471.9</v>
      </c>
      <c r="C178" s="3">
        <v>150</v>
      </c>
      <c r="D178" s="3">
        <v>146</v>
      </c>
      <c r="E178" s="32">
        <f t="shared" si="5"/>
        <v>3.2321917808219176</v>
      </c>
      <c r="F178" s="4">
        <f t="shared" si="6"/>
        <v>0.13467465753424657</v>
      </c>
      <c r="J178" s="5"/>
    </row>
    <row r="179" spans="1:10" x14ac:dyDescent="0.25">
      <c r="A179" s="34">
        <v>45104</v>
      </c>
      <c r="B179" s="3">
        <v>416.8</v>
      </c>
      <c r="C179" s="3">
        <v>150</v>
      </c>
      <c r="D179" s="3">
        <v>146</v>
      </c>
      <c r="E179" s="32">
        <f t="shared" si="5"/>
        <v>2.8547945205479452</v>
      </c>
      <c r="F179" s="4">
        <f t="shared" si="6"/>
        <v>0.11894977168949772</v>
      </c>
      <c r="J179" s="5"/>
    </row>
    <row r="180" spans="1:10" x14ac:dyDescent="0.25">
      <c r="A180" s="34">
        <v>45105</v>
      </c>
      <c r="B180" s="3">
        <v>478</v>
      </c>
      <c r="C180" s="3">
        <v>150</v>
      </c>
      <c r="D180" s="3">
        <v>146</v>
      </c>
      <c r="E180" s="32">
        <f t="shared" si="5"/>
        <v>3.2739726027397262</v>
      </c>
      <c r="F180" s="4">
        <f t="shared" si="6"/>
        <v>0.13641552511415525</v>
      </c>
      <c r="J180" s="5"/>
    </row>
    <row r="181" spans="1:10" x14ac:dyDescent="0.25">
      <c r="A181" s="34">
        <v>45106</v>
      </c>
      <c r="B181" s="3">
        <v>471.1</v>
      </c>
      <c r="C181" s="3">
        <v>150</v>
      </c>
      <c r="D181" s="3">
        <v>146</v>
      </c>
      <c r="E181" s="32">
        <f t="shared" si="5"/>
        <v>3.2267123287671233</v>
      </c>
      <c r="F181" s="4">
        <f t="shared" si="6"/>
        <v>0.13444634703196348</v>
      </c>
      <c r="J181" s="5"/>
    </row>
    <row r="182" spans="1:10" x14ac:dyDescent="0.25">
      <c r="A182" s="34">
        <v>45107</v>
      </c>
      <c r="B182" s="3">
        <v>421.7</v>
      </c>
      <c r="C182" s="3">
        <v>150</v>
      </c>
      <c r="D182" s="3">
        <v>146</v>
      </c>
      <c r="E182" s="32">
        <f t="shared" si="5"/>
        <v>2.8883561643835614</v>
      </c>
      <c r="F182" s="4">
        <f t="shared" si="6"/>
        <v>0.12034817351598173</v>
      </c>
      <c r="J182" s="5"/>
    </row>
    <row r="183" spans="1:10" x14ac:dyDescent="0.25">
      <c r="A183" s="34">
        <v>45108</v>
      </c>
      <c r="B183" s="3">
        <v>447.4</v>
      </c>
      <c r="C183" s="3">
        <v>150</v>
      </c>
      <c r="D183" s="3">
        <v>146</v>
      </c>
      <c r="E183" s="32">
        <f t="shared" si="5"/>
        <v>3.0643835616438353</v>
      </c>
      <c r="F183" s="4">
        <f t="shared" si="6"/>
        <v>0.12768264840182647</v>
      </c>
      <c r="J183" s="5"/>
    </row>
    <row r="184" spans="1:10" x14ac:dyDescent="0.25">
      <c r="A184" s="34">
        <v>45109</v>
      </c>
      <c r="B184" s="3">
        <v>452.3</v>
      </c>
      <c r="C184" s="3">
        <v>150</v>
      </c>
      <c r="D184" s="3">
        <v>146</v>
      </c>
      <c r="E184" s="32">
        <f t="shared" si="5"/>
        <v>3.0979452054794523</v>
      </c>
      <c r="F184" s="4">
        <f t="shared" si="6"/>
        <v>0.12908105022831051</v>
      </c>
      <c r="J184" s="5"/>
    </row>
    <row r="185" spans="1:10" x14ac:dyDescent="0.25">
      <c r="A185" s="34">
        <v>45110</v>
      </c>
      <c r="B185" s="3">
        <v>451.6</v>
      </c>
      <c r="C185" s="3">
        <v>150</v>
      </c>
      <c r="D185" s="3">
        <v>146</v>
      </c>
      <c r="E185" s="32">
        <f t="shared" si="5"/>
        <v>3.0931506849315071</v>
      </c>
      <c r="F185" s="4">
        <f t="shared" si="6"/>
        <v>0.12888127853881279</v>
      </c>
      <c r="J185" s="5"/>
    </row>
    <row r="186" spans="1:10" x14ac:dyDescent="0.25">
      <c r="A186" s="34">
        <v>45111</v>
      </c>
      <c r="B186" s="3">
        <v>476.8</v>
      </c>
      <c r="C186" s="3">
        <v>150</v>
      </c>
      <c r="D186" s="3">
        <v>146</v>
      </c>
      <c r="E186" s="32">
        <f t="shared" si="5"/>
        <v>3.2657534246575342</v>
      </c>
      <c r="F186" s="4">
        <f t="shared" si="6"/>
        <v>0.13607305936073061</v>
      </c>
      <c r="J186" s="5"/>
    </row>
    <row r="187" spans="1:10" x14ac:dyDescent="0.25">
      <c r="A187" s="34">
        <v>45112</v>
      </c>
      <c r="B187" s="3">
        <v>481.1</v>
      </c>
      <c r="C187" s="3">
        <v>150</v>
      </c>
      <c r="D187" s="3">
        <v>146</v>
      </c>
      <c r="E187" s="32">
        <f t="shared" si="5"/>
        <v>3.2952054794520551</v>
      </c>
      <c r="F187" s="4">
        <f t="shared" si="6"/>
        <v>0.13730022831050229</v>
      </c>
      <c r="J187" s="5"/>
    </row>
    <row r="188" spans="1:10" x14ac:dyDescent="0.25">
      <c r="A188" s="34">
        <v>45113</v>
      </c>
      <c r="B188" s="3">
        <v>408.2</v>
      </c>
      <c r="C188" s="3">
        <v>150</v>
      </c>
      <c r="D188" s="3">
        <v>146</v>
      </c>
      <c r="E188" s="32">
        <f t="shared" si="5"/>
        <v>2.7958904109589042</v>
      </c>
      <c r="F188" s="4">
        <f t="shared" si="6"/>
        <v>0.11649543378995433</v>
      </c>
      <c r="J188" s="5"/>
    </row>
    <row r="189" spans="1:10" x14ac:dyDescent="0.25">
      <c r="A189" s="34">
        <v>45114</v>
      </c>
      <c r="B189" s="3">
        <v>470.8</v>
      </c>
      <c r="C189" s="3">
        <v>150</v>
      </c>
      <c r="D189" s="3">
        <v>146</v>
      </c>
      <c r="E189" s="32">
        <f t="shared" si="5"/>
        <v>3.2246575342465755</v>
      </c>
      <c r="F189" s="4">
        <f t="shared" si="6"/>
        <v>0.13436073059360731</v>
      </c>
      <c r="J189" s="5"/>
    </row>
    <row r="190" spans="1:10" x14ac:dyDescent="0.25">
      <c r="A190" s="34">
        <v>45115</v>
      </c>
      <c r="B190" s="3">
        <v>423.5</v>
      </c>
      <c r="C190" s="3">
        <v>150</v>
      </c>
      <c r="D190" s="3">
        <v>146</v>
      </c>
      <c r="E190" s="32">
        <f t="shared" si="5"/>
        <v>2.9006849315068495</v>
      </c>
      <c r="F190" s="4">
        <f t="shared" si="6"/>
        <v>0.12086187214611872</v>
      </c>
      <c r="J190" s="5"/>
    </row>
    <row r="191" spans="1:10" x14ac:dyDescent="0.25">
      <c r="A191" s="34">
        <v>45116</v>
      </c>
      <c r="B191" s="3">
        <v>438.9</v>
      </c>
      <c r="C191" s="3">
        <v>150</v>
      </c>
      <c r="D191" s="3">
        <v>146</v>
      </c>
      <c r="E191" s="32">
        <f t="shared" si="5"/>
        <v>3.0061643835616438</v>
      </c>
      <c r="F191" s="4">
        <f t="shared" si="6"/>
        <v>0.12525684931506847</v>
      </c>
      <c r="J191" s="5"/>
    </row>
    <row r="192" spans="1:10" x14ac:dyDescent="0.25">
      <c r="A192" s="34">
        <v>45117</v>
      </c>
      <c r="B192" s="3">
        <v>436.6</v>
      </c>
      <c r="C192" s="3">
        <v>150</v>
      </c>
      <c r="D192" s="3">
        <v>146</v>
      </c>
      <c r="E192" s="32">
        <f t="shared" si="5"/>
        <v>2.9904109589041097</v>
      </c>
      <c r="F192" s="4">
        <f t="shared" si="6"/>
        <v>0.12460045662100458</v>
      </c>
      <c r="J192" s="5"/>
    </row>
    <row r="193" spans="1:10" x14ac:dyDescent="0.25">
      <c r="A193" s="34">
        <v>45118</v>
      </c>
      <c r="B193" s="3">
        <v>431.5</v>
      </c>
      <c r="C193" s="3">
        <v>150</v>
      </c>
      <c r="D193" s="3">
        <v>146</v>
      </c>
      <c r="E193" s="32">
        <f t="shared" si="5"/>
        <v>2.9554794520547945</v>
      </c>
      <c r="F193" s="4">
        <f t="shared" si="6"/>
        <v>0.12314497716894977</v>
      </c>
      <c r="J193" s="5"/>
    </row>
    <row r="194" spans="1:10" x14ac:dyDescent="0.25">
      <c r="A194" s="34">
        <v>45119</v>
      </c>
      <c r="B194" s="3">
        <v>433.1</v>
      </c>
      <c r="C194" s="3">
        <v>150</v>
      </c>
      <c r="D194" s="3">
        <v>146</v>
      </c>
      <c r="E194" s="32">
        <f t="shared" si="5"/>
        <v>2.9664383561643839</v>
      </c>
      <c r="F194" s="4">
        <f t="shared" si="6"/>
        <v>0.12360159817351599</v>
      </c>
      <c r="J194" s="5"/>
    </row>
    <row r="195" spans="1:10" x14ac:dyDescent="0.25">
      <c r="A195" s="34">
        <v>45120</v>
      </c>
      <c r="B195" s="3">
        <v>446.2</v>
      </c>
      <c r="C195" s="3">
        <v>150</v>
      </c>
      <c r="D195" s="3">
        <v>146</v>
      </c>
      <c r="E195" s="32">
        <f t="shared" ref="E195:E258" si="7">B195/D195</f>
        <v>3.0561643835616437</v>
      </c>
      <c r="F195" s="4">
        <f t="shared" ref="F195:F258" si="8">B195/(24*D195)</f>
        <v>0.12734018264840183</v>
      </c>
      <c r="J195" s="5"/>
    </row>
    <row r="196" spans="1:10" x14ac:dyDescent="0.25">
      <c r="A196" s="34">
        <v>45121</v>
      </c>
      <c r="B196" s="3">
        <v>380.2</v>
      </c>
      <c r="C196" s="3">
        <v>150</v>
      </c>
      <c r="D196" s="3">
        <v>146</v>
      </c>
      <c r="E196" s="32">
        <f t="shared" si="7"/>
        <v>2.6041095890410957</v>
      </c>
      <c r="F196" s="4">
        <f t="shared" si="8"/>
        <v>0.10850456621004566</v>
      </c>
      <c r="J196" s="5"/>
    </row>
    <row r="197" spans="1:10" x14ac:dyDescent="0.25">
      <c r="A197" s="34">
        <v>45122</v>
      </c>
      <c r="B197" s="3">
        <v>400.3</v>
      </c>
      <c r="C197" s="3">
        <v>150</v>
      </c>
      <c r="D197" s="3">
        <v>146</v>
      </c>
      <c r="E197" s="32">
        <f t="shared" si="7"/>
        <v>2.7417808219178084</v>
      </c>
      <c r="F197" s="4">
        <f t="shared" si="8"/>
        <v>0.11424086757990867</v>
      </c>
      <c r="J197" s="5"/>
    </row>
    <row r="198" spans="1:10" x14ac:dyDescent="0.25">
      <c r="A198" s="34">
        <v>45123</v>
      </c>
      <c r="B198" s="3">
        <v>364.1</v>
      </c>
      <c r="C198" s="3">
        <v>150</v>
      </c>
      <c r="D198" s="3">
        <v>146</v>
      </c>
      <c r="E198" s="32">
        <f t="shared" si="7"/>
        <v>2.4938356164383562</v>
      </c>
      <c r="F198" s="4">
        <f t="shared" si="8"/>
        <v>0.10390981735159818</v>
      </c>
      <c r="J198" s="5"/>
    </row>
    <row r="199" spans="1:10" x14ac:dyDescent="0.25">
      <c r="A199" s="34">
        <v>45124</v>
      </c>
      <c r="B199" s="3">
        <v>356.7</v>
      </c>
      <c r="C199" s="3">
        <v>150</v>
      </c>
      <c r="D199" s="3">
        <v>146</v>
      </c>
      <c r="E199" s="32">
        <f t="shared" si="7"/>
        <v>2.4431506849315068</v>
      </c>
      <c r="F199" s="4">
        <f t="shared" si="8"/>
        <v>0.10179794520547945</v>
      </c>
      <c r="J199" s="5"/>
    </row>
    <row r="200" spans="1:10" x14ac:dyDescent="0.25">
      <c r="A200" s="34">
        <v>45125</v>
      </c>
      <c r="B200" s="3">
        <v>408.9</v>
      </c>
      <c r="C200" s="3">
        <v>150</v>
      </c>
      <c r="D200" s="3">
        <v>146</v>
      </c>
      <c r="E200" s="32">
        <f t="shared" si="7"/>
        <v>2.8006849315068489</v>
      </c>
      <c r="F200" s="4">
        <f t="shared" si="8"/>
        <v>0.11669520547945204</v>
      </c>
      <c r="J200" s="5"/>
    </row>
    <row r="201" spans="1:10" x14ac:dyDescent="0.25">
      <c r="A201" s="34">
        <v>45126</v>
      </c>
      <c r="B201" s="3">
        <v>375.7</v>
      </c>
      <c r="C201" s="3">
        <v>150</v>
      </c>
      <c r="D201" s="3">
        <v>146</v>
      </c>
      <c r="E201" s="32">
        <f t="shared" si="7"/>
        <v>2.5732876712328765</v>
      </c>
      <c r="F201" s="4">
        <f t="shared" si="8"/>
        <v>0.10722031963470319</v>
      </c>
      <c r="J201" s="5"/>
    </row>
    <row r="202" spans="1:10" x14ac:dyDescent="0.25">
      <c r="A202" s="34">
        <v>45127</v>
      </c>
      <c r="B202" s="3">
        <v>340.8</v>
      </c>
      <c r="C202" s="3">
        <v>150</v>
      </c>
      <c r="D202" s="3">
        <v>146</v>
      </c>
      <c r="E202" s="32">
        <f t="shared" si="7"/>
        <v>2.3342465753424659</v>
      </c>
      <c r="F202" s="4">
        <f t="shared" si="8"/>
        <v>9.7260273972602743E-2</v>
      </c>
      <c r="J202" s="5"/>
    </row>
    <row r="203" spans="1:10" x14ac:dyDescent="0.25">
      <c r="A203" s="34">
        <v>45128</v>
      </c>
      <c r="B203" s="3">
        <v>307.60000000000002</v>
      </c>
      <c r="C203" s="3">
        <v>150</v>
      </c>
      <c r="D203" s="3">
        <v>146</v>
      </c>
      <c r="E203" s="32">
        <f t="shared" si="7"/>
        <v>2.1068493150684935</v>
      </c>
      <c r="F203" s="4">
        <f t="shared" si="8"/>
        <v>8.7785388127853886E-2</v>
      </c>
      <c r="J203" s="5"/>
    </row>
    <row r="204" spans="1:10" x14ac:dyDescent="0.25">
      <c r="A204" s="34">
        <v>45129</v>
      </c>
      <c r="B204" s="3">
        <v>460.2</v>
      </c>
      <c r="C204" s="3">
        <v>150</v>
      </c>
      <c r="D204" s="3">
        <v>146</v>
      </c>
      <c r="E204" s="32">
        <f t="shared" si="7"/>
        <v>3.1520547945205477</v>
      </c>
      <c r="F204" s="4">
        <f t="shared" si="8"/>
        <v>0.13133561643835617</v>
      </c>
      <c r="J204" s="5"/>
    </row>
    <row r="205" spans="1:10" x14ac:dyDescent="0.25">
      <c r="A205" s="34">
        <v>45130</v>
      </c>
      <c r="B205" s="3">
        <v>369.4</v>
      </c>
      <c r="C205" s="3">
        <v>150</v>
      </c>
      <c r="D205" s="3">
        <v>146</v>
      </c>
      <c r="E205" s="32">
        <f t="shared" si="7"/>
        <v>2.5301369863013696</v>
      </c>
      <c r="F205" s="4">
        <f t="shared" si="8"/>
        <v>0.10542237442922374</v>
      </c>
      <c r="J205" s="5"/>
    </row>
    <row r="206" spans="1:10" x14ac:dyDescent="0.25">
      <c r="A206" s="34">
        <v>45131</v>
      </c>
      <c r="B206" s="3">
        <v>324.3</v>
      </c>
      <c r="C206" s="3">
        <v>150</v>
      </c>
      <c r="D206" s="3">
        <v>146</v>
      </c>
      <c r="E206" s="32">
        <f t="shared" si="7"/>
        <v>2.2212328767123291</v>
      </c>
      <c r="F206" s="4">
        <f t="shared" si="8"/>
        <v>9.2551369863013697E-2</v>
      </c>
      <c r="J206" s="5"/>
    </row>
    <row r="207" spans="1:10" x14ac:dyDescent="0.25">
      <c r="A207" s="34">
        <v>45132</v>
      </c>
      <c r="B207" s="3">
        <v>489.1</v>
      </c>
      <c r="C207" s="3">
        <v>150</v>
      </c>
      <c r="D207" s="3">
        <v>146</v>
      </c>
      <c r="E207" s="32">
        <f t="shared" si="7"/>
        <v>3.35</v>
      </c>
      <c r="F207" s="4">
        <f t="shared" si="8"/>
        <v>0.13958333333333334</v>
      </c>
      <c r="J207" s="5"/>
    </row>
    <row r="208" spans="1:10" x14ac:dyDescent="0.25">
      <c r="A208" s="34">
        <v>45133</v>
      </c>
      <c r="B208" s="3">
        <v>435.7</v>
      </c>
      <c r="C208" s="3">
        <v>150</v>
      </c>
      <c r="D208" s="3">
        <v>146</v>
      </c>
      <c r="E208" s="32">
        <f t="shared" si="7"/>
        <v>2.9842465753424658</v>
      </c>
      <c r="F208" s="4">
        <f t="shared" si="8"/>
        <v>0.12434360730593606</v>
      </c>
      <c r="J208" s="5"/>
    </row>
    <row r="209" spans="1:10" x14ac:dyDescent="0.25">
      <c r="A209" s="34">
        <v>45134</v>
      </c>
      <c r="B209" s="3">
        <v>409.4</v>
      </c>
      <c r="C209" s="3">
        <v>150</v>
      </c>
      <c r="D209" s="3">
        <v>146</v>
      </c>
      <c r="E209" s="32">
        <f t="shared" si="7"/>
        <v>2.8041095890410959</v>
      </c>
      <c r="F209" s="4">
        <f t="shared" si="8"/>
        <v>0.11683789954337899</v>
      </c>
      <c r="J209" s="5"/>
    </row>
    <row r="210" spans="1:10" x14ac:dyDescent="0.25">
      <c r="A210" s="34">
        <v>45135</v>
      </c>
      <c r="B210" s="3">
        <v>454</v>
      </c>
      <c r="C210" s="3">
        <v>150</v>
      </c>
      <c r="D210" s="3">
        <v>146</v>
      </c>
      <c r="E210" s="32">
        <f t="shared" si="7"/>
        <v>3.1095890410958904</v>
      </c>
      <c r="F210" s="4">
        <f t="shared" si="8"/>
        <v>0.1295662100456621</v>
      </c>
      <c r="J210" s="5"/>
    </row>
    <row r="211" spans="1:10" x14ac:dyDescent="0.25">
      <c r="A211" s="34">
        <v>45136</v>
      </c>
      <c r="B211" s="3">
        <v>355.1</v>
      </c>
      <c r="C211" s="3">
        <v>150</v>
      </c>
      <c r="D211" s="3">
        <v>146</v>
      </c>
      <c r="E211" s="32">
        <f t="shared" si="7"/>
        <v>2.4321917808219178</v>
      </c>
      <c r="F211" s="4">
        <f t="shared" si="8"/>
        <v>0.10134132420091325</v>
      </c>
      <c r="J211" s="5"/>
    </row>
    <row r="212" spans="1:10" x14ac:dyDescent="0.25">
      <c r="A212" s="34">
        <v>45137</v>
      </c>
      <c r="B212" s="3">
        <v>392.1</v>
      </c>
      <c r="C212" s="3">
        <v>150</v>
      </c>
      <c r="D212" s="3">
        <v>146</v>
      </c>
      <c r="E212" s="32">
        <f t="shared" si="7"/>
        <v>2.6856164383561647</v>
      </c>
      <c r="F212" s="4">
        <f t="shared" si="8"/>
        <v>0.11190068493150686</v>
      </c>
      <c r="J212" s="5"/>
    </row>
    <row r="213" spans="1:10" x14ac:dyDescent="0.25">
      <c r="A213" s="34">
        <v>45138</v>
      </c>
      <c r="B213" s="3">
        <v>404.5</v>
      </c>
      <c r="C213" s="3">
        <v>150</v>
      </c>
      <c r="D213" s="3">
        <v>146</v>
      </c>
      <c r="E213" s="32">
        <f t="shared" si="7"/>
        <v>2.7705479452054793</v>
      </c>
      <c r="F213" s="4">
        <f t="shared" si="8"/>
        <v>0.11543949771689498</v>
      </c>
      <c r="J213" s="5"/>
    </row>
    <row r="214" spans="1:10" x14ac:dyDescent="0.25">
      <c r="A214" s="34">
        <v>45139</v>
      </c>
      <c r="B214" s="3">
        <v>488.3</v>
      </c>
      <c r="C214" s="3">
        <v>150</v>
      </c>
      <c r="D214" s="3">
        <v>146</v>
      </c>
      <c r="E214" s="32">
        <f t="shared" si="7"/>
        <v>3.3445205479452054</v>
      </c>
      <c r="F214" s="4">
        <f t="shared" si="8"/>
        <v>0.13935502283105022</v>
      </c>
      <c r="J214" s="5"/>
    </row>
    <row r="215" spans="1:10" x14ac:dyDescent="0.25">
      <c r="A215" s="34">
        <v>45140</v>
      </c>
      <c r="B215" s="3">
        <v>495.3</v>
      </c>
      <c r="C215" s="3">
        <v>150</v>
      </c>
      <c r="D215" s="3">
        <v>146</v>
      </c>
      <c r="E215" s="32">
        <f t="shared" si="7"/>
        <v>3.3924657534246574</v>
      </c>
      <c r="F215" s="4">
        <f t="shared" si="8"/>
        <v>0.14135273972602741</v>
      </c>
      <c r="J215" s="5"/>
    </row>
    <row r="216" spans="1:10" x14ac:dyDescent="0.25">
      <c r="A216" s="34">
        <v>45141</v>
      </c>
      <c r="B216" s="3">
        <v>481.7</v>
      </c>
      <c r="C216" s="3">
        <v>150</v>
      </c>
      <c r="D216" s="3">
        <v>146</v>
      </c>
      <c r="E216" s="32">
        <f t="shared" si="7"/>
        <v>3.2993150684931507</v>
      </c>
      <c r="F216" s="4">
        <f t="shared" si="8"/>
        <v>0.13747146118721462</v>
      </c>
      <c r="J216" s="5"/>
    </row>
    <row r="217" spans="1:10" x14ac:dyDescent="0.25">
      <c r="A217" s="34">
        <v>45142</v>
      </c>
      <c r="B217" s="3">
        <v>485.3</v>
      </c>
      <c r="C217" s="3">
        <v>150</v>
      </c>
      <c r="D217" s="3">
        <v>146</v>
      </c>
      <c r="E217" s="32">
        <f t="shared" si="7"/>
        <v>3.3239726027397261</v>
      </c>
      <c r="F217" s="4">
        <f t="shared" si="8"/>
        <v>0.13849885844748858</v>
      </c>
      <c r="J217" s="5"/>
    </row>
    <row r="218" spans="1:10" x14ac:dyDescent="0.25">
      <c r="A218" s="34">
        <v>45143</v>
      </c>
      <c r="B218" s="3">
        <v>465.1</v>
      </c>
      <c r="C218" s="3">
        <v>150</v>
      </c>
      <c r="D218" s="3">
        <v>146</v>
      </c>
      <c r="E218" s="32">
        <f t="shared" si="7"/>
        <v>3.1856164383561647</v>
      </c>
      <c r="F218" s="4">
        <f t="shared" si="8"/>
        <v>0.13273401826484019</v>
      </c>
      <c r="J218" s="5"/>
    </row>
    <row r="219" spans="1:10" x14ac:dyDescent="0.25">
      <c r="A219" s="34">
        <v>45144</v>
      </c>
      <c r="B219" s="3">
        <v>476.8</v>
      </c>
      <c r="C219" s="3">
        <v>150</v>
      </c>
      <c r="D219" s="3">
        <v>146</v>
      </c>
      <c r="E219" s="32">
        <f t="shared" si="7"/>
        <v>3.2657534246575342</v>
      </c>
      <c r="F219" s="4">
        <f t="shared" si="8"/>
        <v>0.13607305936073061</v>
      </c>
      <c r="J219" s="5"/>
    </row>
    <row r="220" spans="1:10" x14ac:dyDescent="0.25">
      <c r="A220" s="34">
        <v>45145</v>
      </c>
      <c r="B220" s="3">
        <v>492.5</v>
      </c>
      <c r="C220" s="3">
        <v>150</v>
      </c>
      <c r="D220" s="3">
        <v>146</v>
      </c>
      <c r="E220" s="32">
        <f t="shared" si="7"/>
        <v>3.3732876712328768</v>
      </c>
      <c r="F220" s="4">
        <f t="shared" si="8"/>
        <v>0.14055365296803654</v>
      </c>
      <c r="J220" s="5"/>
    </row>
    <row r="221" spans="1:10" x14ac:dyDescent="0.25">
      <c r="A221" s="34">
        <v>45146</v>
      </c>
      <c r="B221" s="3">
        <v>468.7</v>
      </c>
      <c r="C221" s="3">
        <v>150</v>
      </c>
      <c r="D221" s="3">
        <v>146</v>
      </c>
      <c r="E221" s="32">
        <f t="shared" si="7"/>
        <v>3.2102739726027396</v>
      </c>
      <c r="F221" s="4">
        <f t="shared" si="8"/>
        <v>0.13376141552511414</v>
      </c>
      <c r="J221" s="5"/>
    </row>
    <row r="222" spans="1:10" x14ac:dyDescent="0.25">
      <c r="A222" s="34">
        <v>45147</v>
      </c>
      <c r="B222" s="3">
        <v>332.6</v>
      </c>
      <c r="C222" s="3">
        <v>150</v>
      </c>
      <c r="D222" s="3">
        <v>146</v>
      </c>
      <c r="E222" s="32">
        <f t="shared" si="7"/>
        <v>2.2780821917808223</v>
      </c>
      <c r="F222" s="4">
        <f t="shared" si="8"/>
        <v>9.4920091324200914E-2</v>
      </c>
      <c r="J222" s="5"/>
    </row>
    <row r="223" spans="1:10" x14ac:dyDescent="0.25">
      <c r="A223" s="34">
        <v>45148</v>
      </c>
      <c r="B223" s="3">
        <v>474.5</v>
      </c>
      <c r="C223" s="3">
        <v>150</v>
      </c>
      <c r="D223" s="3">
        <v>146</v>
      </c>
      <c r="E223" s="32">
        <f t="shared" si="7"/>
        <v>3.25</v>
      </c>
      <c r="F223" s="4">
        <f t="shared" si="8"/>
        <v>0.13541666666666666</v>
      </c>
      <c r="J223" s="5"/>
    </row>
    <row r="224" spans="1:10" x14ac:dyDescent="0.25">
      <c r="A224" s="34">
        <v>45149</v>
      </c>
      <c r="B224" s="3">
        <v>483.2</v>
      </c>
      <c r="C224" s="3">
        <v>150</v>
      </c>
      <c r="D224" s="3">
        <v>146</v>
      </c>
      <c r="E224" s="32">
        <f t="shared" si="7"/>
        <v>3.3095890410958901</v>
      </c>
      <c r="F224" s="4">
        <f t="shared" si="8"/>
        <v>0.13789954337899543</v>
      </c>
      <c r="J224" s="5"/>
    </row>
    <row r="225" spans="1:10" x14ac:dyDescent="0.25">
      <c r="A225" s="34">
        <v>45150</v>
      </c>
      <c r="B225" s="3">
        <v>462.5</v>
      </c>
      <c r="C225" s="3">
        <v>150</v>
      </c>
      <c r="D225" s="3">
        <v>146</v>
      </c>
      <c r="E225" s="32">
        <f t="shared" si="7"/>
        <v>3.1678082191780823</v>
      </c>
      <c r="F225" s="4">
        <f t="shared" si="8"/>
        <v>0.1319920091324201</v>
      </c>
      <c r="J225" s="5"/>
    </row>
    <row r="226" spans="1:10" x14ac:dyDescent="0.25">
      <c r="A226" s="34">
        <v>45151</v>
      </c>
      <c r="B226" s="3">
        <v>336.8</v>
      </c>
      <c r="C226" s="3">
        <v>150</v>
      </c>
      <c r="D226" s="3">
        <v>146</v>
      </c>
      <c r="E226" s="32">
        <f t="shared" si="7"/>
        <v>2.3068493150684932</v>
      </c>
      <c r="F226" s="4">
        <f t="shared" si="8"/>
        <v>9.6118721461187218E-2</v>
      </c>
      <c r="J226" s="5"/>
    </row>
    <row r="227" spans="1:10" x14ac:dyDescent="0.25">
      <c r="A227" s="34">
        <v>45152</v>
      </c>
      <c r="B227" s="3">
        <v>457.9</v>
      </c>
      <c r="C227" s="3">
        <v>150</v>
      </c>
      <c r="D227" s="3">
        <v>146</v>
      </c>
      <c r="E227" s="32">
        <f t="shared" si="7"/>
        <v>3.1363013698630136</v>
      </c>
      <c r="F227" s="4">
        <f t="shared" si="8"/>
        <v>0.13067922374429222</v>
      </c>
      <c r="J227" s="5"/>
    </row>
    <row r="228" spans="1:10" x14ac:dyDescent="0.25">
      <c r="A228" s="34">
        <v>45153</v>
      </c>
      <c r="B228" s="3">
        <v>341.1</v>
      </c>
      <c r="C228" s="3">
        <v>150</v>
      </c>
      <c r="D228" s="3">
        <v>146</v>
      </c>
      <c r="E228" s="32">
        <f t="shared" si="7"/>
        <v>2.3363013698630137</v>
      </c>
      <c r="F228" s="4">
        <f t="shared" si="8"/>
        <v>9.734589041095891E-2</v>
      </c>
      <c r="J228" s="5"/>
    </row>
    <row r="229" spans="1:10" x14ac:dyDescent="0.25">
      <c r="A229" s="34">
        <v>45154</v>
      </c>
      <c r="B229" s="3">
        <v>244.4</v>
      </c>
      <c r="C229" s="3">
        <v>150</v>
      </c>
      <c r="D229" s="3">
        <v>146</v>
      </c>
      <c r="E229" s="32">
        <f t="shared" si="7"/>
        <v>1.6739726027397261</v>
      </c>
      <c r="F229" s="4">
        <f t="shared" si="8"/>
        <v>6.9748858447488585E-2</v>
      </c>
      <c r="J229" s="5"/>
    </row>
    <row r="230" spans="1:10" x14ac:dyDescent="0.25">
      <c r="A230" s="34">
        <v>45155</v>
      </c>
      <c r="B230" s="3">
        <v>308.7</v>
      </c>
      <c r="C230" s="3">
        <v>150</v>
      </c>
      <c r="D230" s="3">
        <v>146</v>
      </c>
      <c r="E230" s="32">
        <f t="shared" si="7"/>
        <v>2.1143835616438356</v>
      </c>
      <c r="F230" s="4">
        <f t="shared" si="8"/>
        <v>8.8099315068493153E-2</v>
      </c>
      <c r="J230" s="5"/>
    </row>
    <row r="231" spans="1:10" x14ac:dyDescent="0.25">
      <c r="A231" s="34">
        <v>45156</v>
      </c>
      <c r="B231" s="3">
        <v>440.9</v>
      </c>
      <c r="C231" s="3">
        <v>150</v>
      </c>
      <c r="D231" s="3">
        <v>146</v>
      </c>
      <c r="E231" s="32">
        <f t="shared" si="7"/>
        <v>3.0198630136986302</v>
      </c>
      <c r="F231" s="4">
        <f t="shared" si="8"/>
        <v>0.12582762557077626</v>
      </c>
      <c r="J231" s="5"/>
    </row>
    <row r="232" spans="1:10" x14ac:dyDescent="0.25">
      <c r="A232" s="34">
        <v>45157</v>
      </c>
      <c r="B232" s="3">
        <v>455</v>
      </c>
      <c r="C232" s="3">
        <v>150</v>
      </c>
      <c r="D232" s="3">
        <v>146</v>
      </c>
      <c r="E232" s="32">
        <f t="shared" si="7"/>
        <v>3.1164383561643834</v>
      </c>
      <c r="F232" s="4">
        <f t="shared" si="8"/>
        <v>0.12985159817351599</v>
      </c>
      <c r="J232" s="5"/>
    </row>
    <row r="233" spans="1:10" x14ac:dyDescent="0.25">
      <c r="A233" s="34">
        <v>45158</v>
      </c>
      <c r="B233" s="3">
        <v>374.1</v>
      </c>
      <c r="C233" s="3">
        <v>150</v>
      </c>
      <c r="D233" s="3">
        <v>146</v>
      </c>
      <c r="E233" s="32">
        <f t="shared" si="7"/>
        <v>2.5623287671232879</v>
      </c>
      <c r="F233" s="4">
        <f t="shared" si="8"/>
        <v>0.10676369863013699</v>
      </c>
      <c r="J233" s="5"/>
    </row>
    <row r="234" spans="1:10" x14ac:dyDescent="0.25">
      <c r="A234" s="34">
        <v>45159</v>
      </c>
      <c r="B234" s="3">
        <v>290.8</v>
      </c>
      <c r="C234" s="3">
        <v>150</v>
      </c>
      <c r="D234" s="3">
        <v>146</v>
      </c>
      <c r="E234" s="32">
        <f t="shared" si="7"/>
        <v>1.9917808219178084</v>
      </c>
      <c r="F234" s="4">
        <f t="shared" si="8"/>
        <v>8.2990867579908673E-2</v>
      </c>
      <c r="J234" s="5"/>
    </row>
    <row r="235" spans="1:10" x14ac:dyDescent="0.25">
      <c r="A235" s="34">
        <v>45160</v>
      </c>
      <c r="B235" s="3">
        <v>653.20000000000005</v>
      </c>
      <c r="C235" s="3">
        <v>150</v>
      </c>
      <c r="D235" s="3">
        <v>146</v>
      </c>
      <c r="E235" s="32">
        <f t="shared" si="7"/>
        <v>4.4739726027397264</v>
      </c>
      <c r="F235" s="4">
        <f t="shared" si="8"/>
        <v>0.18641552511415527</v>
      </c>
      <c r="J235" s="5"/>
    </row>
    <row r="236" spans="1:10" x14ac:dyDescent="0.25">
      <c r="A236" s="34">
        <v>45161</v>
      </c>
      <c r="B236" s="3">
        <v>648.20000000000005</v>
      </c>
      <c r="C236" s="3">
        <v>150</v>
      </c>
      <c r="D236" s="3">
        <v>146</v>
      </c>
      <c r="E236" s="32">
        <f t="shared" si="7"/>
        <v>4.4397260273972607</v>
      </c>
      <c r="F236" s="4">
        <f t="shared" si="8"/>
        <v>0.18498858447488586</v>
      </c>
      <c r="J236" s="5"/>
    </row>
    <row r="237" spans="1:10" x14ac:dyDescent="0.25">
      <c r="A237" s="34">
        <v>45162</v>
      </c>
      <c r="B237" s="3">
        <v>593.9</v>
      </c>
      <c r="C237" s="3">
        <v>150</v>
      </c>
      <c r="D237" s="3">
        <v>146</v>
      </c>
      <c r="E237" s="32">
        <f t="shared" si="7"/>
        <v>4.0678082191780822</v>
      </c>
      <c r="F237" s="4">
        <f t="shared" si="8"/>
        <v>0.16949200913242007</v>
      </c>
      <c r="J237" s="5"/>
    </row>
    <row r="238" spans="1:10" x14ac:dyDescent="0.25">
      <c r="A238" s="34">
        <v>45163</v>
      </c>
      <c r="B238" s="3">
        <v>292.5</v>
      </c>
      <c r="C238" s="3">
        <v>150</v>
      </c>
      <c r="D238" s="3">
        <v>146</v>
      </c>
      <c r="E238" s="32">
        <f t="shared" si="7"/>
        <v>2.0034246575342465</v>
      </c>
      <c r="F238" s="4">
        <f t="shared" si="8"/>
        <v>8.3476027397260275E-2</v>
      </c>
      <c r="J238" s="5"/>
    </row>
    <row r="239" spans="1:10" x14ac:dyDescent="0.25">
      <c r="A239" s="34">
        <v>45164</v>
      </c>
      <c r="B239" s="3">
        <v>421</v>
      </c>
      <c r="C239" s="3">
        <v>150</v>
      </c>
      <c r="D239" s="3">
        <v>146</v>
      </c>
      <c r="E239" s="32">
        <f t="shared" si="7"/>
        <v>2.8835616438356166</v>
      </c>
      <c r="F239" s="4">
        <f t="shared" si="8"/>
        <v>0.12014840182648402</v>
      </c>
      <c r="J239" s="5"/>
    </row>
    <row r="240" spans="1:10" x14ac:dyDescent="0.25">
      <c r="A240" s="34">
        <v>45165</v>
      </c>
      <c r="B240" s="3">
        <v>230</v>
      </c>
      <c r="C240" s="3">
        <v>150</v>
      </c>
      <c r="D240" s="3">
        <v>146</v>
      </c>
      <c r="E240" s="32">
        <f t="shared" si="7"/>
        <v>1.5753424657534247</v>
      </c>
      <c r="F240" s="4">
        <f t="shared" si="8"/>
        <v>6.5639269406392697E-2</v>
      </c>
      <c r="J240" s="5"/>
    </row>
    <row r="241" spans="1:10" x14ac:dyDescent="0.25">
      <c r="A241" s="34">
        <v>45166</v>
      </c>
      <c r="B241" s="3">
        <v>293.2</v>
      </c>
      <c r="C241" s="3">
        <v>150</v>
      </c>
      <c r="D241" s="3">
        <v>146</v>
      </c>
      <c r="E241" s="32">
        <f t="shared" si="7"/>
        <v>2.0082191780821916</v>
      </c>
      <c r="F241" s="4">
        <f t="shared" si="8"/>
        <v>8.3675799086757985E-2</v>
      </c>
      <c r="J241" s="5"/>
    </row>
    <row r="242" spans="1:10" x14ac:dyDescent="0.25">
      <c r="A242" s="34">
        <v>45167</v>
      </c>
      <c r="B242" s="3">
        <v>537.1</v>
      </c>
      <c r="C242" s="3">
        <v>150</v>
      </c>
      <c r="D242" s="3">
        <v>146</v>
      </c>
      <c r="E242" s="32">
        <f t="shared" si="7"/>
        <v>3.6787671232876713</v>
      </c>
      <c r="F242" s="4">
        <f t="shared" si="8"/>
        <v>0.15328196347031964</v>
      </c>
      <c r="J242" s="5"/>
    </row>
    <row r="243" spans="1:10" x14ac:dyDescent="0.25">
      <c r="A243" s="34">
        <v>45168</v>
      </c>
      <c r="B243" s="3">
        <v>537.4</v>
      </c>
      <c r="C243" s="3">
        <v>150</v>
      </c>
      <c r="D243" s="3">
        <v>146</v>
      </c>
      <c r="E243" s="32">
        <f t="shared" si="7"/>
        <v>3.6808219178082191</v>
      </c>
      <c r="F243" s="4">
        <f t="shared" si="8"/>
        <v>0.15336757990867581</v>
      </c>
      <c r="J243" s="5"/>
    </row>
    <row r="244" spans="1:10" x14ac:dyDescent="0.25">
      <c r="A244" s="34">
        <v>45169</v>
      </c>
      <c r="B244" s="3">
        <v>508.1</v>
      </c>
      <c r="C244" s="3">
        <v>150</v>
      </c>
      <c r="D244" s="3">
        <v>146</v>
      </c>
      <c r="E244" s="32">
        <f t="shared" si="7"/>
        <v>3.4801369863013698</v>
      </c>
      <c r="F244" s="4">
        <f t="shared" si="8"/>
        <v>0.14500570776255708</v>
      </c>
      <c r="J244" s="5"/>
    </row>
    <row r="245" spans="1:10" x14ac:dyDescent="0.25">
      <c r="A245" s="34">
        <v>45170</v>
      </c>
      <c r="B245" s="3">
        <v>516.20000000000005</v>
      </c>
      <c r="C245" s="3">
        <v>150</v>
      </c>
      <c r="D245" s="3">
        <v>146</v>
      </c>
      <c r="E245" s="32">
        <f t="shared" si="7"/>
        <v>3.5356164383561648</v>
      </c>
      <c r="F245" s="4">
        <f t="shared" si="8"/>
        <v>0.14731735159817352</v>
      </c>
      <c r="J245" s="5"/>
    </row>
    <row r="246" spans="1:10" x14ac:dyDescent="0.25">
      <c r="A246" s="34">
        <v>45171</v>
      </c>
      <c r="B246" s="3">
        <v>544.4</v>
      </c>
      <c r="C246" s="3">
        <v>150</v>
      </c>
      <c r="D246" s="3">
        <v>146</v>
      </c>
      <c r="E246" s="32">
        <f t="shared" si="7"/>
        <v>3.7287671232876711</v>
      </c>
      <c r="F246" s="4">
        <f t="shared" si="8"/>
        <v>0.15536529680365296</v>
      </c>
      <c r="J246" s="5"/>
    </row>
    <row r="247" spans="1:10" x14ac:dyDescent="0.25">
      <c r="A247" s="34">
        <v>45172</v>
      </c>
      <c r="B247" s="3">
        <v>547.79999999999995</v>
      </c>
      <c r="C247" s="3">
        <v>150</v>
      </c>
      <c r="D247" s="3">
        <v>146</v>
      </c>
      <c r="E247" s="32">
        <f t="shared" si="7"/>
        <v>3.7520547945205478</v>
      </c>
      <c r="F247" s="4">
        <f t="shared" si="8"/>
        <v>0.15633561643835614</v>
      </c>
      <c r="J247" s="5"/>
    </row>
    <row r="248" spans="1:10" x14ac:dyDescent="0.25">
      <c r="A248" s="34">
        <v>45173</v>
      </c>
      <c r="B248" s="3">
        <v>654.4</v>
      </c>
      <c r="C248" s="3">
        <v>150</v>
      </c>
      <c r="D248" s="3">
        <v>146</v>
      </c>
      <c r="E248" s="32">
        <f t="shared" si="7"/>
        <v>4.4821917808219176</v>
      </c>
      <c r="F248" s="4">
        <f t="shared" si="8"/>
        <v>0.18675799086757991</v>
      </c>
      <c r="J248" s="5"/>
    </row>
    <row r="249" spans="1:10" x14ac:dyDescent="0.25">
      <c r="A249" s="34">
        <v>45174</v>
      </c>
      <c r="B249" s="3">
        <v>572.6</v>
      </c>
      <c r="C249" s="3">
        <v>150</v>
      </c>
      <c r="D249" s="3">
        <v>146</v>
      </c>
      <c r="E249" s="32">
        <f t="shared" si="7"/>
        <v>3.9219178082191783</v>
      </c>
      <c r="F249" s="4">
        <f t="shared" si="8"/>
        <v>0.16341324200913243</v>
      </c>
      <c r="J249" s="5"/>
    </row>
    <row r="250" spans="1:10" x14ac:dyDescent="0.25">
      <c r="A250" s="34">
        <v>45175</v>
      </c>
      <c r="B250" s="3">
        <v>379.7</v>
      </c>
      <c r="C250" s="3">
        <v>150</v>
      </c>
      <c r="D250" s="3">
        <v>146</v>
      </c>
      <c r="E250" s="32">
        <f t="shared" si="7"/>
        <v>2.6006849315068492</v>
      </c>
      <c r="F250" s="4">
        <f t="shared" si="8"/>
        <v>0.10836187214611871</v>
      </c>
      <c r="J250" s="5"/>
    </row>
    <row r="251" spans="1:10" x14ac:dyDescent="0.25">
      <c r="A251" s="34">
        <v>45176</v>
      </c>
      <c r="B251" s="3">
        <v>593.4</v>
      </c>
      <c r="C251" s="3">
        <v>150</v>
      </c>
      <c r="D251" s="3">
        <v>146</v>
      </c>
      <c r="E251" s="32">
        <f t="shared" si="7"/>
        <v>4.0643835616438357</v>
      </c>
      <c r="F251" s="4">
        <f t="shared" si="8"/>
        <v>0.16934931506849316</v>
      </c>
      <c r="J251" s="5"/>
    </row>
    <row r="252" spans="1:10" x14ac:dyDescent="0.25">
      <c r="A252" s="34">
        <v>45177</v>
      </c>
      <c r="B252" s="3">
        <v>715.7</v>
      </c>
      <c r="C252" s="3">
        <v>150</v>
      </c>
      <c r="D252" s="3">
        <v>146</v>
      </c>
      <c r="E252" s="32">
        <f t="shared" si="7"/>
        <v>4.9020547945205486</v>
      </c>
      <c r="F252" s="4">
        <f t="shared" si="8"/>
        <v>0.20425228310502283</v>
      </c>
      <c r="J252" s="5"/>
    </row>
    <row r="253" spans="1:10" x14ac:dyDescent="0.25">
      <c r="A253" s="34">
        <v>45178</v>
      </c>
      <c r="B253" s="3">
        <v>723.5</v>
      </c>
      <c r="C253" s="3">
        <v>150</v>
      </c>
      <c r="D253" s="3">
        <v>146</v>
      </c>
      <c r="E253" s="32">
        <f t="shared" si="7"/>
        <v>4.9554794520547949</v>
      </c>
      <c r="F253" s="4">
        <f t="shared" si="8"/>
        <v>0.2064783105022831</v>
      </c>
      <c r="J253" s="5"/>
    </row>
    <row r="254" spans="1:10" x14ac:dyDescent="0.25">
      <c r="A254" s="34">
        <v>45179</v>
      </c>
      <c r="B254" s="3">
        <v>751.3</v>
      </c>
      <c r="C254" s="3">
        <v>150</v>
      </c>
      <c r="D254" s="3">
        <v>146</v>
      </c>
      <c r="E254" s="32">
        <f t="shared" si="7"/>
        <v>5.1458904109589039</v>
      </c>
      <c r="F254" s="4">
        <f t="shared" si="8"/>
        <v>0.21441210045662099</v>
      </c>
      <c r="J254" s="5"/>
    </row>
    <row r="255" spans="1:10" x14ac:dyDescent="0.25">
      <c r="A255" s="34">
        <v>45180</v>
      </c>
      <c r="B255" s="3">
        <v>689.3</v>
      </c>
      <c r="C255" s="3">
        <v>150</v>
      </c>
      <c r="D255" s="3">
        <v>146</v>
      </c>
      <c r="E255" s="32">
        <f t="shared" si="7"/>
        <v>4.7212328767123282</v>
      </c>
      <c r="F255" s="4">
        <f t="shared" si="8"/>
        <v>0.19671803652968034</v>
      </c>
      <c r="J255" s="5"/>
    </row>
    <row r="256" spans="1:10" x14ac:dyDescent="0.25">
      <c r="A256" s="34">
        <v>45181</v>
      </c>
      <c r="B256" s="3">
        <v>720.9</v>
      </c>
      <c r="C256" s="3">
        <v>150</v>
      </c>
      <c r="D256" s="3">
        <v>146</v>
      </c>
      <c r="E256" s="32">
        <f t="shared" si="7"/>
        <v>4.9376712328767125</v>
      </c>
      <c r="F256" s="4">
        <f t="shared" si="8"/>
        <v>0.20573630136986301</v>
      </c>
      <c r="J256" s="5"/>
    </row>
    <row r="257" spans="1:10" x14ac:dyDescent="0.25">
      <c r="A257" s="34">
        <v>45182</v>
      </c>
      <c r="B257" s="3">
        <v>690.7</v>
      </c>
      <c r="C257" s="3">
        <v>150</v>
      </c>
      <c r="D257" s="3">
        <v>146</v>
      </c>
      <c r="E257" s="32">
        <f t="shared" si="7"/>
        <v>4.7308219178082194</v>
      </c>
      <c r="F257" s="4">
        <f t="shared" si="8"/>
        <v>0.19711757990867582</v>
      </c>
      <c r="J257" s="5"/>
    </row>
    <row r="258" spans="1:10" x14ac:dyDescent="0.25">
      <c r="A258" s="34">
        <v>45183</v>
      </c>
      <c r="B258" s="3">
        <v>679.9</v>
      </c>
      <c r="C258" s="3">
        <v>150</v>
      </c>
      <c r="D258" s="3">
        <v>146</v>
      </c>
      <c r="E258" s="32">
        <f t="shared" si="7"/>
        <v>4.6568493150684933</v>
      </c>
      <c r="F258" s="4">
        <f t="shared" si="8"/>
        <v>0.19403538812785387</v>
      </c>
      <c r="J258" s="5"/>
    </row>
    <row r="259" spans="1:10" x14ac:dyDescent="0.25">
      <c r="A259" s="34">
        <v>45184</v>
      </c>
      <c r="B259" s="3">
        <v>415.4</v>
      </c>
      <c r="C259" s="3">
        <v>150</v>
      </c>
      <c r="D259" s="3">
        <v>146</v>
      </c>
      <c r="E259" s="32">
        <f t="shared" ref="E259:E324" si="9">B259/D259</f>
        <v>2.8452054794520545</v>
      </c>
      <c r="F259" s="4">
        <f t="shared" ref="F259:F324" si="10">B259/(24*D259)</f>
        <v>0.11855022831050227</v>
      </c>
      <c r="J259" s="5"/>
    </row>
    <row r="260" spans="1:10" x14ac:dyDescent="0.25">
      <c r="A260" s="34">
        <v>45185</v>
      </c>
      <c r="B260" s="3">
        <v>660.1</v>
      </c>
      <c r="C260" s="3">
        <v>150</v>
      </c>
      <c r="D260" s="3">
        <v>146</v>
      </c>
      <c r="E260" s="32">
        <f t="shared" si="9"/>
        <v>4.5212328767123289</v>
      </c>
      <c r="F260" s="4">
        <f t="shared" si="10"/>
        <v>0.18838470319634704</v>
      </c>
      <c r="J260" s="5"/>
    </row>
    <row r="261" spans="1:10" x14ac:dyDescent="0.25">
      <c r="A261" s="34">
        <v>45186</v>
      </c>
      <c r="B261" s="3">
        <v>726.6</v>
      </c>
      <c r="C261" s="3">
        <v>150</v>
      </c>
      <c r="D261" s="3">
        <v>146</v>
      </c>
      <c r="E261" s="32">
        <f t="shared" si="9"/>
        <v>4.9767123287671238</v>
      </c>
      <c r="F261" s="4">
        <f t="shared" si="10"/>
        <v>0.20736301369863014</v>
      </c>
      <c r="J261" s="5"/>
    </row>
    <row r="262" spans="1:10" x14ac:dyDescent="0.25">
      <c r="A262" s="34">
        <v>45187</v>
      </c>
      <c r="B262" s="3">
        <v>694.6</v>
      </c>
      <c r="C262" s="3">
        <v>150</v>
      </c>
      <c r="D262" s="3">
        <v>146</v>
      </c>
      <c r="E262" s="32">
        <f t="shared" si="9"/>
        <v>4.757534246575343</v>
      </c>
      <c r="F262" s="4">
        <f t="shared" si="10"/>
        <v>0.19823059360730594</v>
      </c>
      <c r="J262" s="5"/>
    </row>
    <row r="263" spans="1:10" x14ac:dyDescent="0.25">
      <c r="A263" s="34">
        <v>45188</v>
      </c>
      <c r="B263" s="3">
        <v>741.1</v>
      </c>
      <c r="C263" s="3">
        <v>150</v>
      </c>
      <c r="D263" s="3">
        <v>146</v>
      </c>
      <c r="E263" s="32">
        <f t="shared" si="9"/>
        <v>5.0760273972602743</v>
      </c>
      <c r="F263" s="4">
        <f t="shared" si="10"/>
        <v>0.21150114155251143</v>
      </c>
      <c r="J263" s="5"/>
    </row>
    <row r="264" spans="1:10" x14ac:dyDescent="0.25">
      <c r="A264" s="34">
        <v>45189</v>
      </c>
      <c r="B264" s="3">
        <v>749.4</v>
      </c>
      <c r="C264" s="3">
        <v>150</v>
      </c>
      <c r="D264" s="3">
        <v>146</v>
      </c>
      <c r="E264" s="32">
        <f t="shared" si="9"/>
        <v>5.1328767123287671</v>
      </c>
      <c r="F264" s="4">
        <f t="shared" si="10"/>
        <v>0.21386986301369862</v>
      </c>
      <c r="J264" s="5"/>
    </row>
    <row r="265" spans="1:10" x14ac:dyDescent="0.25">
      <c r="A265" s="34">
        <v>45190</v>
      </c>
      <c r="B265" s="3">
        <v>716.7</v>
      </c>
      <c r="C265" s="3">
        <v>150</v>
      </c>
      <c r="D265" s="3">
        <v>146</v>
      </c>
      <c r="E265" s="32">
        <f t="shared" si="9"/>
        <v>4.9089041095890416</v>
      </c>
      <c r="F265" s="4">
        <f t="shared" si="10"/>
        <v>0.20453767123287672</v>
      </c>
      <c r="J265" s="5"/>
    </row>
    <row r="266" spans="1:10" x14ac:dyDescent="0.25">
      <c r="A266" s="34">
        <v>45191</v>
      </c>
      <c r="B266" s="3">
        <v>726.2</v>
      </c>
      <c r="C266" s="3">
        <v>150</v>
      </c>
      <c r="D266" s="3">
        <v>146</v>
      </c>
      <c r="E266" s="32">
        <f t="shared" si="9"/>
        <v>4.9739726027397264</v>
      </c>
      <c r="F266" s="4">
        <f t="shared" si="10"/>
        <v>0.20724885844748861</v>
      </c>
      <c r="J266" s="5"/>
    </row>
    <row r="267" spans="1:10" x14ac:dyDescent="0.25">
      <c r="A267" s="34">
        <v>45192</v>
      </c>
      <c r="B267" s="3">
        <v>602.5</v>
      </c>
      <c r="C267" s="3">
        <v>150</v>
      </c>
      <c r="D267" s="3">
        <v>146</v>
      </c>
      <c r="E267" s="32">
        <f t="shared" si="9"/>
        <v>4.1267123287671232</v>
      </c>
      <c r="F267" s="4">
        <f t="shared" si="10"/>
        <v>0.17194634703196346</v>
      </c>
      <c r="J267" s="5"/>
    </row>
    <row r="268" spans="1:10" x14ac:dyDescent="0.25">
      <c r="A268" s="34">
        <v>45193</v>
      </c>
      <c r="B268" s="3">
        <v>696</v>
      </c>
      <c r="C268" s="3">
        <v>150</v>
      </c>
      <c r="D268" s="3">
        <v>146</v>
      </c>
      <c r="E268" s="32">
        <f t="shared" si="9"/>
        <v>4.7671232876712333</v>
      </c>
      <c r="F268" s="4">
        <f t="shared" si="10"/>
        <v>0.19863013698630136</v>
      </c>
      <c r="J268" s="5"/>
    </row>
    <row r="269" spans="1:10" x14ac:dyDescent="0.25">
      <c r="A269" s="34">
        <v>45194</v>
      </c>
      <c r="B269" s="3">
        <v>608.70000000000005</v>
      </c>
      <c r="C269" s="3">
        <v>150</v>
      </c>
      <c r="D269" s="3">
        <v>146</v>
      </c>
      <c r="E269" s="32">
        <f t="shared" si="9"/>
        <v>4.169178082191781</v>
      </c>
      <c r="F269" s="4">
        <f t="shared" si="10"/>
        <v>0.17371575342465756</v>
      </c>
      <c r="J269" s="5"/>
    </row>
    <row r="270" spans="1:10" x14ac:dyDescent="0.25">
      <c r="A270" s="34">
        <v>45195</v>
      </c>
      <c r="B270" s="3">
        <v>0</v>
      </c>
      <c r="C270" s="3">
        <v>150</v>
      </c>
      <c r="D270" s="3">
        <v>146</v>
      </c>
      <c r="E270" s="32">
        <f t="shared" si="9"/>
        <v>0</v>
      </c>
      <c r="F270" s="4">
        <f t="shared" si="10"/>
        <v>0</v>
      </c>
      <c r="J270" s="5"/>
    </row>
    <row r="271" spans="1:10" x14ac:dyDescent="0.25">
      <c r="A271" s="34">
        <v>45196</v>
      </c>
      <c r="B271" s="3">
        <v>0</v>
      </c>
      <c r="C271" s="3">
        <v>150</v>
      </c>
      <c r="D271" s="3">
        <v>146</v>
      </c>
      <c r="E271" s="32">
        <f t="shared" si="9"/>
        <v>0</v>
      </c>
      <c r="F271" s="4">
        <f t="shared" si="10"/>
        <v>0</v>
      </c>
      <c r="J271" s="5"/>
    </row>
    <row r="272" spans="1:10" x14ac:dyDescent="0.25">
      <c r="A272" s="34">
        <v>45197</v>
      </c>
      <c r="B272" s="3">
        <v>13.6</v>
      </c>
      <c r="C272" s="3">
        <v>150</v>
      </c>
      <c r="D272" s="3">
        <v>146</v>
      </c>
      <c r="E272" s="32">
        <f t="shared" si="9"/>
        <v>9.3150684931506841E-2</v>
      </c>
      <c r="F272" s="4">
        <f t="shared" si="10"/>
        <v>3.8812785388127853E-3</v>
      </c>
      <c r="J272" s="5"/>
    </row>
    <row r="273" spans="1:10" x14ac:dyDescent="0.25">
      <c r="A273" s="34">
        <v>45198</v>
      </c>
      <c r="B273" s="3">
        <v>494.8</v>
      </c>
      <c r="C273" s="3">
        <v>150</v>
      </c>
      <c r="D273" s="3">
        <v>146</v>
      </c>
      <c r="E273" s="32">
        <f t="shared" si="9"/>
        <v>3.3890410958904109</v>
      </c>
      <c r="F273" s="4">
        <f t="shared" si="10"/>
        <v>0.14121004566210046</v>
      </c>
      <c r="J273" s="5"/>
    </row>
    <row r="274" spans="1:10" x14ac:dyDescent="0.25">
      <c r="A274" s="34">
        <v>45199</v>
      </c>
      <c r="B274" s="3">
        <v>699</v>
      </c>
      <c r="C274" s="3">
        <v>150</v>
      </c>
      <c r="D274" s="3">
        <v>146</v>
      </c>
      <c r="E274" s="32">
        <f t="shared" si="9"/>
        <v>4.7876712328767121</v>
      </c>
      <c r="F274" s="4">
        <f t="shared" si="10"/>
        <v>0.19948630136986301</v>
      </c>
      <c r="J274" s="5"/>
    </row>
    <row r="275" spans="1:10" x14ac:dyDescent="0.25">
      <c r="A275" s="34">
        <v>45200</v>
      </c>
      <c r="B275" s="3">
        <v>171.5</v>
      </c>
      <c r="C275" s="3">
        <v>150</v>
      </c>
      <c r="D275" s="3">
        <v>146</v>
      </c>
      <c r="E275" s="32">
        <f t="shared" si="9"/>
        <v>1.1746575342465753</v>
      </c>
      <c r="F275" s="4">
        <f t="shared" si="10"/>
        <v>4.8944063926940638E-2</v>
      </c>
      <c r="J275" s="5"/>
    </row>
    <row r="276" spans="1:10" x14ac:dyDescent="0.25">
      <c r="A276" s="34">
        <v>45201</v>
      </c>
      <c r="B276" s="3">
        <v>569.6</v>
      </c>
      <c r="C276" s="3">
        <v>150</v>
      </c>
      <c r="D276" s="3">
        <v>146</v>
      </c>
      <c r="E276" s="32">
        <f t="shared" si="9"/>
        <v>3.9013698630136986</v>
      </c>
      <c r="F276" s="4">
        <f t="shared" si="10"/>
        <v>0.16255707762557078</v>
      </c>
      <c r="J276" s="5"/>
    </row>
    <row r="277" spans="1:10" x14ac:dyDescent="0.25">
      <c r="A277" s="34">
        <v>45202</v>
      </c>
      <c r="B277" s="3">
        <v>606.1</v>
      </c>
      <c r="C277" s="3">
        <v>150</v>
      </c>
      <c r="D277" s="3">
        <v>146</v>
      </c>
      <c r="E277" s="32">
        <f t="shared" si="9"/>
        <v>4.1513698630136986</v>
      </c>
      <c r="F277" s="4">
        <f t="shared" si="10"/>
        <v>0.17297374429223744</v>
      </c>
      <c r="J277" s="5"/>
    </row>
    <row r="278" spans="1:10" x14ac:dyDescent="0.25">
      <c r="A278" s="34">
        <v>45203</v>
      </c>
      <c r="B278" s="3">
        <v>722.8</v>
      </c>
      <c r="C278" s="3">
        <v>150</v>
      </c>
      <c r="D278" s="3">
        <v>146</v>
      </c>
      <c r="E278" s="32">
        <f t="shared" si="9"/>
        <v>4.9506849315068493</v>
      </c>
      <c r="F278" s="4">
        <f t="shared" si="10"/>
        <v>0.20627853881278538</v>
      </c>
      <c r="J278" s="5"/>
    </row>
    <row r="279" spans="1:10" x14ac:dyDescent="0.25">
      <c r="A279" s="34">
        <v>45204</v>
      </c>
      <c r="B279" s="3">
        <v>521.20000000000005</v>
      </c>
      <c r="C279" s="3">
        <v>150</v>
      </c>
      <c r="D279" s="3">
        <v>146</v>
      </c>
      <c r="E279" s="32">
        <f t="shared" si="9"/>
        <v>3.5698630136986305</v>
      </c>
      <c r="F279" s="4">
        <f t="shared" si="10"/>
        <v>0.14874429223744293</v>
      </c>
      <c r="J279" s="5"/>
    </row>
    <row r="280" spans="1:10" x14ac:dyDescent="0.25">
      <c r="A280" s="34">
        <v>45205</v>
      </c>
      <c r="B280" s="3">
        <v>524.9</v>
      </c>
      <c r="C280" s="3">
        <v>150</v>
      </c>
      <c r="D280" s="3">
        <v>146</v>
      </c>
      <c r="E280" s="32">
        <f t="shared" si="9"/>
        <v>3.5952054794520545</v>
      </c>
      <c r="F280" s="4">
        <f t="shared" si="10"/>
        <v>0.14980022831050227</v>
      </c>
      <c r="J280" s="5"/>
    </row>
    <row r="281" spans="1:10" x14ac:dyDescent="0.25">
      <c r="A281" s="34">
        <v>45206</v>
      </c>
      <c r="B281" s="3">
        <v>767.1</v>
      </c>
      <c r="C281" s="3">
        <v>150</v>
      </c>
      <c r="D281" s="3">
        <v>146</v>
      </c>
      <c r="E281" s="32">
        <f t="shared" si="9"/>
        <v>5.2541095890410965</v>
      </c>
      <c r="F281" s="4">
        <f t="shared" si="10"/>
        <v>0.21892123287671234</v>
      </c>
      <c r="J281" s="5"/>
    </row>
    <row r="282" spans="1:10" x14ac:dyDescent="0.25">
      <c r="A282" s="34">
        <v>45207</v>
      </c>
      <c r="B282" s="3">
        <v>647.9</v>
      </c>
      <c r="C282" s="3">
        <v>150</v>
      </c>
      <c r="D282" s="3">
        <v>146</v>
      </c>
      <c r="E282" s="32">
        <f t="shared" si="9"/>
        <v>4.4376712328767125</v>
      </c>
      <c r="F282" s="4">
        <f t="shared" si="10"/>
        <v>0.18490296803652967</v>
      </c>
      <c r="J282" s="5"/>
    </row>
    <row r="283" spans="1:10" x14ac:dyDescent="0.25">
      <c r="A283" s="34">
        <v>45208</v>
      </c>
      <c r="B283" s="3">
        <v>431.6</v>
      </c>
      <c r="C283" s="3">
        <v>150</v>
      </c>
      <c r="D283" s="3">
        <v>146</v>
      </c>
      <c r="E283" s="32">
        <f t="shared" si="9"/>
        <v>2.956164383561644</v>
      </c>
      <c r="F283" s="4">
        <f t="shared" si="10"/>
        <v>0.12317351598173516</v>
      </c>
      <c r="J283" s="5"/>
    </row>
    <row r="284" spans="1:10" x14ac:dyDescent="0.25">
      <c r="A284" s="34">
        <v>45209</v>
      </c>
      <c r="B284" s="3">
        <v>656.8</v>
      </c>
      <c r="C284" s="3">
        <v>150</v>
      </c>
      <c r="D284" s="3">
        <v>146</v>
      </c>
      <c r="E284" s="32">
        <f t="shared" si="9"/>
        <v>4.4986301369863009</v>
      </c>
      <c r="F284" s="4">
        <f t="shared" si="10"/>
        <v>0.18744292237442922</v>
      </c>
      <c r="J284" s="5"/>
    </row>
    <row r="285" spans="1:10" x14ac:dyDescent="0.25">
      <c r="A285" s="34">
        <v>45210</v>
      </c>
      <c r="B285" s="3">
        <v>696.6</v>
      </c>
      <c r="C285" s="3">
        <v>150</v>
      </c>
      <c r="D285" s="3">
        <v>146</v>
      </c>
      <c r="E285" s="32">
        <f>B285/D285</f>
        <v>4.7712328767123289</v>
      </c>
      <c r="F285" s="4">
        <f t="shared" si="10"/>
        <v>0.19880136986301369</v>
      </c>
      <c r="J285" s="5"/>
    </row>
    <row r="286" spans="1:10" x14ac:dyDescent="0.25">
      <c r="A286" s="34">
        <v>45211</v>
      </c>
      <c r="B286" s="3">
        <v>758.5</v>
      </c>
      <c r="C286" s="3">
        <v>150</v>
      </c>
      <c r="D286" s="3">
        <v>146</v>
      </c>
      <c r="E286" s="32">
        <f t="shared" si="9"/>
        <v>5.1952054794520546</v>
      </c>
      <c r="F286" s="4">
        <f t="shared" si="10"/>
        <v>0.21646689497716895</v>
      </c>
      <c r="J286" s="5"/>
    </row>
    <row r="287" spans="1:10" x14ac:dyDescent="0.25">
      <c r="A287" s="34">
        <v>45212</v>
      </c>
      <c r="B287" s="3">
        <v>632.29999999999995</v>
      </c>
      <c r="C287" s="3">
        <v>150</v>
      </c>
      <c r="D287" s="3">
        <v>146</v>
      </c>
      <c r="E287" s="32">
        <f t="shared" si="9"/>
        <v>4.330821917808219</v>
      </c>
      <c r="F287" s="4">
        <f t="shared" si="10"/>
        <v>0.18045091324200913</v>
      </c>
      <c r="J287" s="5"/>
    </row>
    <row r="288" spans="1:10" x14ac:dyDescent="0.25">
      <c r="A288" s="34">
        <v>45213</v>
      </c>
      <c r="B288" s="3"/>
      <c r="C288" s="3"/>
      <c r="D288" s="3"/>
      <c r="E288" s="32"/>
      <c r="F288" s="4"/>
      <c r="J288" s="5"/>
    </row>
    <row r="289" spans="1:10" x14ac:dyDescent="0.25">
      <c r="A289" s="34">
        <v>45214</v>
      </c>
      <c r="B289" s="3">
        <v>551.1</v>
      </c>
      <c r="C289" s="3">
        <v>150</v>
      </c>
      <c r="D289" s="3">
        <v>146</v>
      </c>
      <c r="E289" s="32">
        <f t="shared" si="9"/>
        <v>3.7746575342465754</v>
      </c>
      <c r="F289" s="4">
        <f t="shared" si="10"/>
        <v>0.15727739726027398</v>
      </c>
      <c r="J289" s="5"/>
    </row>
    <row r="290" spans="1:10" x14ac:dyDescent="0.25">
      <c r="A290" s="34">
        <v>45215</v>
      </c>
      <c r="B290" s="3">
        <v>693.1</v>
      </c>
      <c r="C290" s="3">
        <v>150</v>
      </c>
      <c r="D290" s="3">
        <v>146</v>
      </c>
      <c r="E290" s="32">
        <f>B290/D290</f>
        <v>4.7472602739726026</v>
      </c>
      <c r="F290" s="4">
        <f t="shared" si="10"/>
        <v>0.19780251141552513</v>
      </c>
      <c r="J290" s="5"/>
    </row>
    <row r="291" spans="1:10" x14ac:dyDescent="0.25">
      <c r="A291" s="34">
        <v>45216</v>
      </c>
      <c r="B291" s="3">
        <v>740.4</v>
      </c>
      <c r="C291" s="3">
        <v>150</v>
      </c>
      <c r="D291" s="3">
        <v>146</v>
      </c>
      <c r="E291" s="32">
        <f t="shared" si="9"/>
        <v>5.0712328767123287</v>
      </c>
      <c r="F291" s="4">
        <f t="shared" si="10"/>
        <v>0.2113013698630137</v>
      </c>
      <c r="J291" s="5"/>
    </row>
    <row r="292" spans="1:10" x14ac:dyDescent="0.25">
      <c r="A292" s="34">
        <v>45217</v>
      </c>
      <c r="B292" s="3">
        <v>553.1</v>
      </c>
      <c r="C292" s="3">
        <v>150</v>
      </c>
      <c r="D292" s="3">
        <v>146</v>
      </c>
      <c r="E292" s="32">
        <f t="shared" si="9"/>
        <v>3.7883561643835617</v>
      </c>
      <c r="F292" s="4">
        <f t="shared" si="10"/>
        <v>0.15784817351598174</v>
      </c>
      <c r="J292" s="5"/>
    </row>
    <row r="293" spans="1:10" x14ac:dyDescent="0.25">
      <c r="A293" s="34">
        <v>45218</v>
      </c>
      <c r="B293" s="3">
        <v>593.4</v>
      </c>
      <c r="C293" s="3">
        <v>150</v>
      </c>
      <c r="D293" s="3">
        <v>146</v>
      </c>
      <c r="E293" s="32">
        <f t="shared" si="9"/>
        <v>4.0643835616438357</v>
      </c>
      <c r="F293" s="4">
        <f t="shared" si="10"/>
        <v>0.16934931506849316</v>
      </c>
      <c r="J293" s="5"/>
    </row>
    <row r="294" spans="1:10" x14ac:dyDescent="0.25">
      <c r="A294" s="34">
        <v>45219</v>
      </c>
      <c r="B294" s="3">
        <v>502</v>
      </c>
      <c r="C294" s="3">
        <v>150</v>
      </c>
      <c r="D294" s="3">
        <v>146</v>
      </c>
      <c r="E294" s="32">
        <f t="shared" si="9"/>
        <v>3.4383561643835616</v>
      </c>
      <c r="F294" s="4">
        <f t="shared" si="10"/>
        <v>0.1432648401826484</v>
      </c>
      <c r="J294" s="5"/>
    </row>
    <row r="295" spans="1:10" x14ac:dyDescent="0.25">
      <c r="A295" s="34">
        <v>45220</v>
      </c>
      <c r="B295" s="3"/>
      <c r="C295" s="3"/>
      <c r="D295" s="3"/>
      <c r="E295" s="32"/>
      <c r="F295" s="4"/>
      <c r="J295" s="5"/>
    </row>
    <row r="296" spans="1:10" x14ac:dyDescent="0.25">
      <c r="A296" s="34">
        <v>45221</v>
      </c>
      <c r="B296" s="3">
        <v>678.8</v>
      </c>
      <c r="C296" s="3">
        <v>150</v>
      </c>
      <c r="D296" s="3">
        <v>146</v>
      </c>
      <c r="E296" s="32">
        <f t="shared" si="9"/>
        <v>4.6493150684931503</v>
      </c>
      <c r="F296" s="4">
        <f t="shared" si="10"/>
        <v>0.19372146118721459</v>
      </c>
      <c r="J296" s="5"/>
    </row>
    <row r="297" spans="1:10" x14ac:dyDescent="0.25">
      <c r="A297" s="34">
        <v>45222</v>
      </c>
      <c r="B297" s="3">
        <v>836.9</v>
      </c>
      <c r="C297" s="3">
        <v>150</v>
      </c>
      <c r="D297" s="3">
        <v>146</v>
      </c>
      <c r="E297" s="32">
        <f t="shared" si="9"/>
        <v>5.7321917808219176</v>
      </c>
      <c r="F297" s="4">
        <f t="shared" si="10"/>
        <v>0.23884132420091322</v>
      </c>
      <c r="J297" s="5"/>
    </row>
    <row r="298" spans="1:10" x14ac:dyDescent="0.25">
      <c r="A298" s="34">
        <v>45223</v>
      </c>
      <c r="B298" s="3">
        <v>645.9</v>
      </c>
      <c r="C298" s="3">
        <v>150</v>
      </c>
      <c r="D298" s="3">
        <v>146</v>
      </c>
      <c r="E298" s="32">
        <f>B298/D298</f>
        <v>4.4239726027397257</v>
      </c>
      <c r="F298" s="4">
        <f t="shared" si="10"/>
        <v>0.18433219178082191</v>
      </c>
      <c r="J298" s="5"/>
    </row>
    <row r="299" spans="1:10" x14ac:dyDescent="0.25">
      <c r="A299" s="34">
        <v>45224</v>
      </c>
      <c r="B299" s="3">
        <v>553.20000000000005</v>
      </c>
      <c r="C299" s="3">
        <v>150</v>
      </c>
      <c r="D299" s="3">
        <v>146</v>
      </c>
      <c r="E299" s="32">
        <f t="shared" si="9"/>
        <v>3.7890410958904113</v>
      </c>
      <c r="F299" s="4">
        <f t="shared" si="10"/>
        <v>0.15787671232876713</v>
      </c>
      <c r="J299" s="5"/>
    </row>
    <row r="300" spans="1:10" x14ac:dyDescent="0.25">
      <c r="A300" s="34">
        <v>45225</v>
      </c>
      <c r="B300" s="3">
        <v>622.6</v>
      </c>
      <c r="C300" s="3">
        <v>150</v>
      </c>
      <c r="D300" s="3">
        <v>146</v>
      </c>
      <c r="E300" s="32">
        <f t="shared" si="9"/>
        <v>4.2643835616438359</v>
      </c>
      <c r="F300" s="4">
        <f t="shared" si="10"/>
        <v>0.17768264840182649</v>
      </c>
      <c r="J300" s="5"/>
    </row>
    <row r="301" spans="1:10" x14ac:dyDescent="0.25">
      <c r="A301" s="34">
        <v>45226</v>
      </c>
      <c r="B301" s="3">
        <v>560.4</v>
      </c>
      <c r="C301" s="3">
        <v>150</v>
      </c>
      <c r="D301" s="3">
        <v>146</v>
      </c>
      <c r="E301" s="32">
        <f t="shared" si="9"/>
        <v>3.8383561643835615</v>
      </c>
      <c r="F301" s="4">
        <f t="shared" si="10"/>
        <v>0.15993150684931506</v>
      </c>
      <c r="J301" s="5"/>
    </row>
    <row r="302" spans="1:10" x14ac:dyDescent="0.25">
      <c r="A302" s="34">
        <v>45227</v>
      </c>
      <c r="B302" s="3">
        <v>530.5</v>
      </c>
      <c r="C302" s="3">
        <v>150</v>
      </c>
      <c r="D302" s="3">
        <v>146</v>
      </c>
      <c r="E302" s="32">
        <f t="shared" si="9"/>
        <v>3.6335616438356166</v>
      </c>
      <c r="F302" s="4">
        <f t="shared" si="10"/>
        <v>0.15139840182648401</v>
      </c>
      <c r="J302" s="5"/>
    </row>
    <row r="303" spans="1:10" x14ac:dyDescent="0.25">
      <c r="A303" s="34">
        <v>45228</v>
      </c>
      <c r="B303" s="3">
        <v>690</v>
      </c>
      <c r="C303" s="3">
        <v>150</v>
      </c>
      <c r="D303" s="3">
        <v>146</v>
      </c>
      <c r="E303" s="32">
        <f t="shared" si="9"/>
        <v>4.7260273972602738</v>
      </c>
      <c r="F303" s="4">
        <f t="shared" si="10"/>
        <v>0.19691780821917809</v>
      </c>
      <c r="J303" s="5"/>
    </row>
    <row r="304" spans="1:10" x14ac:dyDescent="0.25">
      <c r="A304" s="34">
        <v>45229</v>
      </c>
      <c r="B304" s="3">
        <v>707.4</v>
      </c>
      <c r="C304" s="3">
        <v>150</v>
      </c>
      <c r="D304" s="3">
        <v>146</v>
      </c>
      <c r="E304" s="32">
        <f t="shared" si="9"/>
        <v>4.8452054794520549</v>
      </c>
      <c r="F304" s="4">
        <f t="shared" si="10"/>
        <v>0.20188356164383561</v>
      </c>
      <c r="J304" s="5"/>
    </row>
    <row r="305" spans="1:10" x14ac:dyDescent="0.25">
      <c r="A305" s="34">
        <v>45230</v>
      </c>
      <c r="B305" s="3">
        <v>568.70000000000005</v>
      </c>
      <c r="C305" s="3">
        <v>150</v>
      </c>
      <c r="D305" s="3">
        <v>146</v>
      </c>
      <c r="E305" s="32">
        <f t="shared" si="9"/>
        <v>3.8952054794520552</v>
      </c>
      <c r="F305" s="4">
        <f t="shared" si="10"/>
        <v>0.16230022831050231</v>
      </c>
      <c r="J305" s="5"/>
    </row>
    <row r="306" spans="1:10" x14ac:dyDescent="0.25">
      <c r="A306" s="34">
        <v>45231</v>
      </c>
      <c r="B306" s="3">
        <v>694.5</v>
      </c>
      <c r="C306" s="3">
        <v>150</v>
      </c>
      <c r="D306" s="3">
        <v>146</v>
      </c>
      <c r="E306" s="32">
        <f t="shared" si="9"/>
        <v>4.756849315068493</v>
      </c>
      <c r="F306" s="4">
        <f t="shared" si="10"/>
        <v>0.19820205479452055</v>
      </c>
      <c r="J306" s="5"/>
    </row>
    <row r="307" spans="1:10" x14ac:dyDescent="0.25">
      <c r="A307" s="34">
        <v>45232</v>
      </c>
      <c r="B307" s="3">
        <v>603.70000000000005</v>
      </c>
      <c r="C307" s="3">
        <v>150</v>
      </c>
      <c r="D307" s="3">
        <v>146</v>
      </c>
      <c r="E307" s="32">
        <f t="shared" si="9"/>
        <v>4.1349315068493153</v>
      </c>
      <c r="F307" s="4">
        <f t="shared" si="10"/>
        <v>0.17228881278538813</v>
      </c>
      <c r="J307" s="5"/>
    </row>
    <row r="308" spans="1:10" x14ac:dyDescent="0.25">
      <c r="A308" s="34">
        <v>45233</v>
      </c>
      <c r="B308" s="3">
        <v>482.6</v>
      </c>
      <c r="C308" s="3">
        <v>150</v>
      </c>
      <c r="D308" s="3">
        <v>146</v>
      </c>
      <c r="E308" s="32">
        <f>B308/D308</f>
        <v>3.3054794520547945</v>
      </c>
      <c r="F308" s="4">
        <f t="shared" si="10"/>
        <v>0.13772831050228312</v>
      </c>
      <c r="J308" s="5"/>
    </row>
    <row r="309" spans="1:10" x14ac:dyDescent="0.25">
      <c r="A309" s="34">
        <v>45234</v>
      </c>
      <c r="B309" s="3">
        <v>589.79999999999995</v>
      </c>
      <c r="C309" s="3">
        <v>150</v>
      </c>
      <c r="D309" s="3">
        <v>146</v>
      </c>
      <c r="E309" s="32">
        <f t="shared" si="9"/>
        <v>4.0397260273972604</v>
      </c>
      <c r="F309" s="4">
        <f t="shared" si="10"/>
        <v>0.16832191780821917</v>
      </c>
      <c r="J309" s="5"/>
    </row>
    <row r="310" spans="1:10" x14ac:dyDescent="0.25">
      <c r="A310" s="34">
        <v>45235</v>
      </c>
      <c r="B310" s="3">
        <v>864.3</v>
      </c>
      <c r="C310" s="3">
        <v>150</v>
      </c>
      <c r="D310" s="3">
        <v>146</v>
      </c>
      <c r="E310" s="32">
        <f t="shared" si="9"/>
        <v>5.9198630136986301</v>
      </c>
      <c r="F310" s="4">
        <f t="shared" si="10"/>
        <v>0.24666095890410958</v>
      </c>
      <c r="J310" s="5"/>
    </row>
    <row r="311" spans="1:10" x14ac:dyDescent="0.25">
      <c r="A311" s="34">
        <v>45236</v>
      </c>
      <c r="B311" s="3">
        <v>877.4</v>
      </c>
      <c r="C311" s="3">
        <v>150</v>
      </c>
      <c r="D311" s="3">
        <v>146</v>
      </c>
      <c r="E311" s="32">
        <f t="shared" si="9"/>
        <v>6.0095890410958903</v>
      </c>
      <c r="F311" s="4">
        <f t="shared" si="10"/>
        <v>0.25039954337899545</v>
      </c>
      <c r="J311" s="5"/>
    </row>
    <row r="312" spans="1:10" x14ac:dyDescent="0.25">
      <c r="A312" s="34">
        <v>45237</v>
      </c>
      <c r="B312" s="3">
        <v>916.5</v>
      </c>
      <c r="C312" s="3">
        <v>150</v>
      </c>
      <c r="D312" s="3">
        <v>146</v>
      </c>
      <c r="E312" s="32">
        <f t="shared" si="9"/>
        <v>6.2773972602739727</v>
      </c>
      <c r="F312" s="4">
        <f t="shared" si="10"/>
        <v>0.2615582191780822</v>
      </c>
      <c r="J312" s="5"/>
    </row>
    <row r="313" spans="1:10" x14ac:dyDescent="0.25">
      <c r="A313" s="34">
        <v>45238</v>
      </c>
      <c r="B313" s="3">
        <v>904.1</v>
      </c>
      <c r="C313" s="3">
        <v>150</v>
      </c>
      <c r="D313" s="3">
        <v>146</v>
      </c>
      <c r="E313" s="32">
        <f t="shared" si="9"/>
        <v>6.1924657534246581</v>
      </c>
      <c r="F313" s="4">
        <f t="shared" si="10"/>
        <v>0.25801940639269405</v>
      </c>
      <c r="J313" s="5"/>
    </row>
    <row r="314" spans="1:10" x14ac:dyDescent="0.25">
      <c r="A314" s="34">
        <v>45239</v>
      </c>
      <c r="B314" s="3">
        <v>903.6</v>
      </c>
      <c r="C314" s="3">
        <v>150</v>
      </c>
      <c r="D314" s="3">
        <v>146</v>
      </c>
      <c r="E314" s="32">
        <f t="shared" si="9"/>
        <v>6.1890410958904107</v>
      </c>
      <c r="F314" s="4">
        <f t="shared" si="10"/>
        <v>0.25787671232876713</v>
      </c>
      <c r="J314" s="5"/>
    </row>
    <row r="315" spans="1:10" x14ac:dyDescent="0.25">
      <c r="A315" s="34">
        <v>45240</v>
      </c>
      <c r="B315" s="3">
        <v>837.1</v>
      </c>
      <c r="C315" s="3">
        <v>150</v>
      </c>
      <c r="D315" s="3">
        <v>146</v>
      </c>
      <c r="E315" s="32">
        <f t="shared" si="9"/>
        <v>5.7335616438356167</v>
      </c>
      <c r="F315" s="4">
        <f t="shared" si="10"/>
        <v>0.23889840182648403</v>
      </c>
      <c r="J315" s="5"/>
    </row>
    <row r="316" spans="1:10" x14ac:dyDescent="0.25">
      <c r="A316" s="34">
        <v>45241</v>
      </c>
      <c r="B316" s="3">
        <v>870.2</v>
      </c>
      <c r="C316" s="3">
        <v>150</v>
      </c>
      <c r="D316" s="3">
        <v>146</v>
      </c>
      <c r="E316" s="32">
        <f t="shared" si="9"/>
        <v>5.9602739726027396</v>
      </c>
      <c r="F316" s="4">
        <f t="shared" si="10"/>
        <v>0.24834474885844751</v>
      </c>
      <c r="J316" s="5"/>
    </row>
    <row r="317" spans="1:10" x14ac:dyDescent="0.25">
      <c r="A317" s="34">
        <v>45242</v>
      </c>
      <c r="B317" s="3">
        <v>856.2</v>
      </c>
      <c r="C317" s="3">
        <v>150</v>
      </c>
      <c r="D317" s="3">
        <v>146</v>
      </c>
      <c r="E317" s="32">
        <f t="shared" si="9"/>
        <v>5.8643835616438356</v>
      </c>
      <c r="F317" s="4">
        <f t="shared" si="10"/>
        <v>0.24434931506849317</v>
      </c>
      <c r="J317" s="5"/>
    </row>
    <row r="318" spans="1:10" x14ac:dyDescent="0.25">
      <c r="A318" s="34">
        <v>45243</v>
      </c>
      <c r="B318" s="3">
        <v>786.4</v>
      </c>
      <c r="C318" s="3">
        <v>150</v>
      </c>
      <c r="D318" s="3">
        <v>146</v>
      </c>
      <c r="E318" s="32">
        <f t="shared" si="9"/>
        <v>5.3863013698630136</v>
      </c>
      <c r="F318" s="4">
        <f t="shared" si="10"/>
        <v>0.22442922374429222</v>
      </c>
      <c r="J318" s="5"/>
    </row>
    <row r="319" spans="1:10" x14ac:dyDescent="0.25">
      <c r="A319" s="34">
        <v>45244</v>
      </c>
      <c r="B319" s="3">
        <v>754.5</v>
      </c>
      <c r="C319" s="3">
        <v>150</v>
      </c>
      <c r="D319" s="3">
        <v>146</v>
      </c>
      <c r="E319" s="32">
        <f t="shared" si="9"/>
        <v>5.1678082191780819</v>
      </c>
      <c r="F319" s="4">
        <f t="shared" si="10"/>
        <v>0.21532534246575341</v>
      </c>
      <c r="J319" s="5"/>
    </row>
    <row r="320" spans="1:10" x14ac:dyDescent="0.25">
      <c r="A320" s="34">
        <v>45245</v>
      </c>
      <c r="B320" s="3">
        <v>814.9</v>
      </c>
      <c r="C320" s="3">
        <v>150</v>
      </c>
      <c r="D320" s="3">
        <v>146</v>
      </c>
      <c r="E320" s="32">
        <f t="shared" si="9"/>
        <v>5.5815068493150681</v>
      </c>
      <c r="F320" s="4">
        <f t="shared" si="10"/>
        <v>0.23256278538812786</v>
      </c>
      <c r="J320" s="5"/>
    </row>
    <row r="321" spans="1:10" x14ac:dyDescent="0.25">
      <c r="A321" s="34">
        <v>45246</v>
      </c>
      <c r="B321" s="3">
        <v>818.7</v>
      </c>
      <c r="C321" s="3">
        <v>150</v>
      </c>
      <c r="D321" s="3">
        <v>146</v>
      </c>
      <c r="E321" s="32">
        <f t="shared" si="9"/>
        <v>5.6075342465753426</v>
      </c>
      <c r="F321" s="4">
        <f t="shared" si="10"/>
        <v>0.23364726027397262</v>
      </c>
      <c r="J321" s="5"/>
    </row>
    <row r="322" spans="1:10" x14ac:dyDescent="0.25">
      <c r="A322" s="34">
        <v>45247</v>
      </c>
      <c r="B322" s="3">
        <v>752.1</v>
      </c>
      <c r="C322" s="3">
        <v>150</v>
      </c>
      <c r="D322" s="3">
        <v>146</v>
      </c>
      <c r="E322" s="32">
        <f t="shared" si="9"/>
        <v>5.1513698630136986</v>
      </c>
      <c r="F322" s="4">
        <f t="shared" si="10"/>
        <v>0.21464041095890413</v>
      </c>
      <c r="J322" s="5"/>
    </row>
    <row r="323" spans="1:10" x14ac:dyDescent="0.25">
      <c r="A323" s="34">
        <v>45248</v>
      </c>
      <c r="B323" s="3">
        <v>800.7</v>
      </c>
      <c r="C323" s="3">
        <v>150</v>
      </c>
      <c r="D323" s="3">
        <v>146</v>
      </c>
      <c r="E323" s="32">
        <f t="shared" si="9"/>
        <v>5.4842465753424658</v>
      </c>
      <c r="F323" s="4">
        <f t="shared" si="10"/>
        <v>0.22851027397260276</v>
      </c>
      <c r="J323" s="5"/>
    </row>
    <row r="324" spans="1:10" x14ac:dyDescent="0.25">
      <c r="A324" s="34">
        <v>45249</v>
      </c>
      <c r="B324" s="3">
        <v>634.29999999999995</v>
      </c>
      <c r="C324" s="3">
        <v>150</v>
      </c>
      <c r="D324" s="3">
        <v>146</v>
      </c>
      <c r="E324" s="32">
        <f t="shared" si="9"/>
        <v>4.3445205479452049</v>
      </c>
      <c r="F324" s="4">
        <f t="shared" si="10"/>
        <v>0.18102168949771688</v>
      </c>
      <c r="J324" s="5"/>
    </row>
    <row r="325" spans="1:10" x14ac:dyDescent="0.25">
      <c r="A325" s="34">
        <v>45250</v>
      </c>
      <c r="B325" s="3">
        <v>391.8</v>
      </c>
      <c r="C325" s="3">
        <v>150</v>
      </c>
      <c r="D325" s="3">
        <v>146</v>
      </c>
      <c r="E325" s="32">
        <f t="shared" ref="E325:E366" si="11">B325/D325</f>
        <v>2.6835616438356165</v>
      </c>
      <c r="F325" s="4">
        <f t="shared" ref="F325:F366" si="12">B325/(24*D325)</f>
        <v>0.11181506849315069</v>
      </c>
      <c r="J325" s="5"/>
    </row>
    <row r="326" spans="1:10" x14ac:dyDescent="0.25">
      <c r="A326" s="34">
        <v>45251</v>
      </c>
      <c r="B326" s="3">
        <v>726.4</v>
      </c>
      <c r="C326" s="3">
        <v>150</v>
      </c>
      <c r="D326" s="3">
        <v>146</v>
      </c>
      <c r="E326" s="32">
        <f t="shared" si="11"/>
        <v>4.9753424657534246</v>
      </c>
      <c r="F326" s="4">
        <f t="shared" si="12"/>
        <v>0.20730593607305936</v>
      </c>
      <c r="J326" s="5"/>
    </row>
    <row r="327" spans="1:10" x14ac:dyDescent="0.25">
      <c r="A327" s="34">
        <v>45252</v>
      </c>
      <c r="B327" s="3">
        <v>772.2</v>
      </c>
      <c r="C327" s="3">
        <v>150</v>
      </c>
      <c r="D327" s="3">
        <v>146</v>
      </c>
      <c r="E327" s="32">
        <f t="shared" si="11"/>
        <v>5.2890410958904113</v>
      </c>
      <c r="F327" s="4">
        <f t="shared" si="12"/>
        <v>0.22037671232876713</v>
      </c>
      <c r="J327" s="5"/>
    </row>
    <row r="328" spans="1:10" x14ac:dyDescent="0.25">
      <c r="A328" s="34">
        <v>45253</v>
      </c>
      <c r="B328" s="3">
        <v>748.3</v>
      </c>
      <c r="C328" s="3">
        <v>150</v>
      </c>
      <c r="D328" s="3">
        <v>146</v>
      </c>
      <c r="E328" s="32">
        <f t="shared" si="11"/>
        <v>5.1253424657534241</v>
      </c>
      <c r="F328" s="4">
        <f t="shared" si="12"/>
        <v>0.21355593607305934</v>
      </c>
      <c r="J328" s="5"/>
    </row>
    <row r="329" spans="1:10" x14ac:dyDescent="0.25">
      <c r="A329" s="34">
        <v>45254</v>
      </c>
      <c r="B329" s="3">
        <v>599.9</v>
      </c>
      <c r="C329" s="3">
        <v>150</v>
      </c>
      <c r="D329" s="3">
        <v>146</v>
      </c>
      <c r="E329" s="32">
        <f t="shared" si="11"/>
        <v>4.1089041095890408</v>
      </c>
      <c r="F329" s="4">
        <f t="shared" si="12"/>
        <v>0.17120433789954337</v>
      </c>
      <c r="J329" s="5"/>
    </row>
    <row r="330" spans="1:10" x14ac:dyDescent="0.25">
      <c r="A330" s="34">
        <v>45255</v>
      </c>
      <c r="B330" s="3">
        <v>635.79999999999995</v>
      </c>
      <c r="C330" s="3">
        <v>150</v>
      </c>
      <c r="D330" s="3">
        <v>146</v>
      </c>
      <c r="E330" s="32">
        <f t="shared" si="11"/>
        <v>4.3547945205479452</v>
      </c>
      <c r="F330" s="4">
        <f t="shared" si="12"/>
        <v>0.18144977168949769</v>
      </c>
      <c r="J330" s="5"/>
    </row>
    <row r="331" spans="1:10" x14ac:dyDescent="0.25">
      <c r="A331" s="34">
        <v>45256</v>
      </c>
      <c r="B331" s="3">
        <v>895.8</v>
      </c>
      <c r="C331" s="3">
        <v>150</v>
      </c>
      <c r="D331" s="3">
        <v>146</v>
      </c>
      <c r="E331" s="32">
        <f t="shared" si="11"/>
        <v>6.1356164383561644</v>
      </c>
      <c r="F331" s="4">
        <f t="shared" si="12"/>
        <v>0.25565068493150683</v>
      </c>
      <c r="J331" s="5"/>
    </row>
    <row r="332" spans="1:10" x14ac:dyDescent="0.25">
      <c r="A332" s="34">
        <v>45257</v>
      </c>
      <c r="B332" s="3">
        <v>786</v>
      </c>
      <c r="C332" s="3">
        <v>150</v>
      </c>
      <c r="D332" s="3">
        <v>146</v>
      </c>
      <c r="E332" s="32">
        <f t="shared" si="11"/>
        <v>5.3835616438356162</v>
      </c>
      <c r="F332" s="4">
        <f t="shared" si="12"/>
        <v>0.22431506849315069</v>
      </c>
      <c r="J332" s="5"/>
    </row>
    <row r="333" spans="1:10" x14ac:dyDescent="0.25">
      <c r="A333" s="34">
        <v>45258</v>
      </c>
      <c r="B333" s="3">
        <v>667.5</v>
      </c>
      <c r="C333" s="3">
        <v>150</v>
      </c>
      <c r="D333" s="3">
        <v>146</v>
      </c>
      <c r="E333" s="32">
        <f t="shared" si="11"/>
        <v>4.5719178082191778</v>
      </c>
      <c r="F333" s="4">
        <f t="shared" si="12"/>
        <v>0.19049657534246575</v>
      </c>
      <c r="J333" s="5"/>
    </row>
    <row r="334" spans="1:10" x14ac:dyDescent="0.25">
      <c r="A334" s="34">
        <v>45259</v>
      </c>
      <c r="B334" s="3">
        <v>474.1</v>
      </c>
      <c r="C334" s="3">
        <v>150</v>
      </c>
      <c r="D334" s="3">
        <v>146</v>
      </c>
      <c r="E334" s="32">
        <f t="shared" si="11"/>
        <v>3.2472602739726031</v>
      </c>
      <c r="F334" s="4">
        <f t="shared" si="12"/>
        <v>0.13530251141552513</v>
      </c>
      <c r="J334" s="5"/>
    </row>
    <row r="335" spans="1:10" x14ac:dyDescent="0.25">
      <c r="A335" s="34">
        <v>45260</v>
      </c>
      <c r="B335" s="3"/>
      <c r="C335" s="3"/>
      <c r="D335" s="3"/>
      <c r="E335" s="32"/>
      <c r="F335" s="4"/>
      <c r="J335" s="5"/>
    </row>
    <row r="336" spans="1:10" x14ac:dyDescent="0.25">
      <c r="A336" s="34">
        <v>45261</v>
      </c>
      <c r="B336" s="3">
        <v>669.7</v>
      </c>
      <c r="C336" s="3">
        <v>150</v>
      </c>
      <c r="D336" s="3">
        <v>146</v>
      </c>
      <c r="E336" s="32">
        <f t="shared" si="11"/>
        <v>4.5869863013698637</v>
      </c>
      <c r="F336" s="4">
        <f t="shared" si="12"/>
        <v>0.19112442922374431</v>
      </c>
      <c r="J336" s="5"/>
    </row>
    <row r="337" spans="1:10" x14ac:dyDescent="0.25">
      <c r="A337" s="34">
        <v>45262</v>
      </c>
      <c r="B337" s="3">
        <v>655.1</v>
      </c>
      <c r="C337" s="3">
        <v>150</v>
      </c>
      <c r="D337" s="3">
        <v>146</v>
      </c>
      <c r="E337" s="32">
        <f t="shared" si="11"/>
        <v>4.4869863013698632</v>
      </c>
      <c r="F337" s="4">
        <f t="shared" si="12"/>
        <v>0.18695776255707763</v>
      </c>
      <c r="J337" s="5"/>
    </row>
    <row r="338" spans="1:10" x14ac:dyDescent="0.25">
      <c r="A338" s="34">
        <v>45263</v>
      </c>
      <c r="B338" s="3">
        <v>650.6</v>
      </c>
      <c r="C338" s="3">
        <v>150</v>
      </c>
      <c r="D338" s="3">
        <v>146</v>
      </c>
      <c r="E338" s="32">
        <f t="shared" si="11"/>
        <v>4.456164383561644</v>
      </c>
      <c r="F338" s="4">
        <f t="shared" si="12"/>
        <v>0.18567351598173518</v>
      </c>
      <c r="J338" s="5"/>
    </row>
    <row r="339" spans="1:10" x14ac:dyDescent="0.25">
      <c r="A339" s="34">
        <v>45264</v>
      </c>
      <c r="B339" s="3">
        <v>658.4</v>
      </c>
      <c r="C339" s="3">
        <v>150</v>
      </c>
      <c r="D339" s="3">
        <v>146</v>
      </c>
      <c r="E339" s="32">
        <f t="shared" si="11"/>
        <v>4.5095890410958903</v>
      </c>
      <c r="F339" s="4">
        <f t="shared" si="12"/>
        <v>0.18789954337899542</v>
      </c>
      <c r="J339" s="5"/>
    </row>
    <row r="340" spans="1:10" x14ac:dyDescent="0.25">
      <c r="A340" s="34">
        <v>45265</v>
      </c>
      <c r="B340" s="3">
        <v>841</v>
      </c>
      <c r="C340" s="3">
        <v>150</v>
      </c>
      <c r="D340" s="3">
        <v>146</v>
      </c>
      <c r="E340" s="32">
        <f t="shared" si="11"/>
        <v>5.7602739726027394</v>
      </c>
      <c r="F340" s="4">
        <f t="shared" si="12"/>
        <v>0.24001141552511415</v>
      </c>
      <c r="J340" s="5"/>
    </row>
    <row r="341" spans="1:10" x14ac:dyDescent="0.25">
      <c r="A341" s="34">
        <v>45266</v>
      </c>
      <c r="B341" s="3">
        <v>726</v>
      </c>
      <c r="C341" s="3">
        <v>150</v>
      </c>
      <c r="D341" s="3">
        <v>146</v>
      </c>
      <c r="E341" s="32">
        <f t="shared" si="11"/>
        <v>4.9726027397260273</v>
      </c>
      <c r="F341" s="4">
        <f t="shared" si="12"/>
        <v>0.2071917808219178</v>
      </c>
      <c r="J341" s="5"/>
    </row>
    <row r="342" spans="1:10" x14ac:dyDescent="0.25">
      <c r="A342" s="34">
        <v>45267</v>
      </c>
      <c r="B342" s="3">
        <v>827.6</v>
      </c>
      <c r="C342" s="3">
        <v>150</v>
      </c>
      <c r="D342" s="3">
        <v>146</v>
      </c>
      <c r="E342" s="32">
        <f t="shared" si="11"/>
        <v>5.6684931506849319</v>
      </c>
      <c r="F342" s="4">
        <f t="shared" si="12"/>
        <v>0.23618721461187214</v>
      </c>
      <c r="J342" s="5"/>
    </row>
    <row r="343" spans="1:10" x14ac:dyDescent="0.25">
      <c r="A343" s="34">
        <v>45268</v>
      </c>
      <c r="B343" s="3">
        <v>820.2</v>
      </c>
      <c r="C343" s="3">
        <v>150</v>
      </c>
      <c r="D343" s="3">
        <v>146</v>
      </c>
      <c r="E343" s="32">
        <f t="shared" si="11"/>
        <v>5.6178082191780829</v>
      </c>
      <c r="F343" s="4">
        <f t="shared" si="12"/>
        <v>0.23407534246575343</v>
      </c>
      <c r="J343" s="5"/>
    </row>
    <row r="344" spans="1:10" x14ac:dyDescent="0.25">
      <c r="A344" s="34">
        <v>45269</v>
      </c>
      <c r="B344" s="3">
        <v>704.6</v>
      </c>
      <c r="C344" s="3">
        <v>150</v>
      </c>
      <c r="D344" s="3">
        <v>146</v>
      </c>
      <c r="E344" s="32">
        <f t="shared" si="11"/>
        <v>4.8260273972602743</v>
      </c>
      <c r="F344" s="4">
        <f t="shared" si="12"/>
        <v>0.20108447488584474</v>
      </c>
      <c r="J344" s="5"/>
    </row>
    <row r="345" spans="1:10" x14ac:dyDescent="0.25">
      <c r="A345" s="34">
        <v>45270</v>
      </c>
      <c r="B345" s="3">
        <v>664</v>
      </c>
      <c r="C345" s="3">
        <v>150</v>
      </c>
      <c r="D345" s="3">
        <v>146</v>
      </c>
      <c r="E345" s="32">
        <f t="shared" si="11"/>
        <v>4.5479452054794525</v>
      </c>
      <c r="F345" s="4">
        <f t="shared" si="12"/>
        <v>0.18949771689497716</v>
      </c>
      <c r="J345" s="5"/>
    </row>
    <row r="346" spans="1:10" x14ac:dyDescent="0.25">
      <c r="A346" s="34">
        <v>45271</v>
      </c>
      <c r="B346" s="3">
        <v>539.20000000000005</v>
      </c>
      <c r="C346" s="3">
        <v>150</v>
      </c>
      <c r="D346" s="3">
        <v>146</v>
      </c>
      <c r="E346" s="32">
        <f>B346/D346</f>
        <v>3.6931506849315072</v>
      </c>
      <c r="F346" s="4">
        <f t="shared" si="12"/>
        <v>0.15388127853881281</v>
      </c>
      <c r="J346" s="5"/>
    </row>
    <row r="347" spans="1:10" x14ac:dyDescent="0.25">
      <c r="A347" s="34">
        <v>45272</v>
      </c>
      <c r="B347" s="3">
        <v>650.1</v>
      </c>
      <c r="C347" s="3">
        <v>150</v>
      </c>
      <c r="D347" s="3">
        <v>146</v>
      </c>
      <c r="E347" s="32">
        <f t="shared" si="11"/>
        <v>4.4527397260273975</v>
      </c>
      <c r="F347" s="4">
        <f t="shared" si="12"/>
        <v>0.18553082191780823</v>
      </c>
      <c r="J347" s="5"/>
    </row>
    <row r="348" spans="1:10" x14ac:dyDescent="0.25">
      <c r="A348" s="34">
        <v>45273</v>
      </c>
      <c r="B348" s="3">
        <v>747.5</v>
      </c>
      <c r="C348" s="3">
        <v>150</v>
      </c>
      <c r="D348" s="3">
        <v>146</v>
      </c>
      <c r="E348" s="32">
        <f t="shared" si="11"/>
        <v>5.1198630136986303</v>
      </c>
      <c r="F348" s="4">
        <f t="shared" si="12"/>
        <v>0.21332762557077625</v>
      </c>
      <c r="J348" s="5"/>
    </row>
    <row r="349" spans="1:10" x14ac:dyDescent="0.25">
      <c r="A349" s="34">
        <v>45274</v>
      </c>
      <c r="B349" s="3">
        <v>854.5</v>
      </c>
      <c r="C349" s="3">
        <v>150</v>
      </c>
      <c r="D349" s="3">
        <v>146</v>
      </c>
      <c r="E349" s="32">
        <f>B349/D349</f>
        <v>5.852739726027397</v>
      </c>
      <c r="F349" s="4">
        <f t="shared" si="12"/>
        <v>0.24386415525114155</v>
      </c>
      <c r="J349" s="5"/>
    </row>
    <row r="350" spans="1:10" x14ac:dyDescent="0.25">
      <c r="A350" s="34">
        <v>45275</v>
      </c>
      <c r="B350" s="3">
        <v>936.7</v>
      </c>
      <c r="C350" s="3">
        <v>150</v>
      </c>
      <c r="D350" s="3">
        <v>146</v>
      </c>
      <c r="E350" s="32">
        <f t="shared" si="11"/>
        <v>6.4157534246575345</v>
      </c>
      <c r="F350" s="4">
        <f t="shared" si="12"/>
        <v>0.26732305936073059</v>
      </c>
      <c r="J350" s="5"/>
    </row>
    <row r="351" spans="1:10" x14ac:dyDescent="0.25">
      <c r="A351" s="34">
        <v>45276</v>
      </c>
      <c r="B351" s="3">
        <v>892.5</v>
      </c>
      <c r="C351" s="3">
        <v>150</v>
      </c>
      <c r="D351" s="3">
        <v>146</v>
      </c>
      <c r="E351" s="32">
        <f t="shared" si="11"/>
        <v>6.1130136986301373</v>
      </c>
      <c r="F351" s="4">
        <f t="shared" si="12"/>
        <v>0.25470890410958902</v>
      </c>
      <c r="J351" s="5"/>
    </row>
    <row r="352" spans="1:10" x14ac:dyDescent="0.25">
      <c r="A352" s="34">
        <v>45277</v>
      </c>
      <c r="B352" s="3">
        <v>872.9</v>
      </c>
      <c r="C352" s="3">
        <v>150</v>
      </c>
      <c r="D352" s="3">
        <v>146</v>
      </c>
      <c r="E352" s="32">
        <f t="shared" si="11"/>
        <v>5.9787671232876711</v>
      </c>
      <c r="F352" s="4">
        <f t="shared" si="12"/>
        <v>0.24911529680365296</v>
      </c>
      <c r="J352" s="5"/>
    </row>
    <row r="353" spans="1:10" x14ac:dyDescent="0.25">
      <c r="A353" s="34">
        <v>45278</v>
      </c>
      <c r="B353" s="3">
        <v>797.5</v>
      </c>
      <c r="C353" s="3">
        <v>150</v>
      </c>
      <c r="D353" s="3">
        <v>146</v>
      </c>
      <c r="E353" s="32">
        <f t="shared" si="11"/>
        <v>5.4623287671232879</v>
      </c>
      <c r="F353" s="4">
        <f t="shared" si="12"/>
        <v>0.22759703196347031</v>
      </c>
      <c r="J353" s="5"/>
    </row>
    <row r="354" spans="1:10" x14ac:dyDescent="0.25">
      <c r="A354" s="34">
        <v>45279</v>
      </c>
      <c r="B354" s="3">
        <v>700.8</v>
      </c>
      <c r="C354" s="3">
        <v>150</v>
      </c>
      <c r="D354" s="3">
        <v>146</v>
      </c>
      <c r="E354" s="32">
        <f t="shared" si="11"/>
        <v>4.8</v>
      </c>
      <c r="F354" s="4">
        <f t="shared" si="12"/>
        <v>0.19999999999999998</v>
      </c>
      <c r="J354" s="5"/>
    </row>
    <row r="355" spans="1:10" x14ac:dyDescent="0.25">
      <c r="A355" s="34">
        <v>45280</v>
      </c>
      <c r="B355" s="3">
        <v>818.2</v>
      </c>
      <c r="C355" s="3">
        <v>150</v>
      </c>
      <c r="D355" s="3">
        <v>146</v>
      </c>
      <c r="E355" s="32">
        <f t="shared" si="11"/>
        <v>5.6041095890410961</v>
      </c>
      <c r="F355" s="4">
        <f t="shared" si="12"/>
        <v>0.23350456621004567</v>
      </c>
      <c r="J355" s="5"/>
    </row>
    <row r="356" spans="1:10" x14ac:dyDescent="0.25">
      <c r="A356" s="34">
        <v>45281</v>
      </c>
      <c r="B356" s="3">
        <v>594.79999999999995</v>
      </c>
      <c r="C356" s="3">
        <v>150</v>
      </c>
      <c r="D356" s="3">
        <v>146</v>
      </c>
      <c r="E356" s="32">
        <f t="shared" si="11"/>
        <v>4.0739726027397261</v>
      </c>
      <c r="F356" s="4">
        <f t="shared" si="12"/>
        <v>0.16974885844748858</v>
      </c>
      <c r="J356" s="5"/>
    </row>
    <row r="357" spans="1:10" x14ac:dyDescent="0.25">
      <c r="A357" s="34">
        <v>45282</v>
      </c>
      <c r="B357" s="3">
        <v>529.20000000000005</v>
      </c>
      <c r="C357" s="3">
        <v>150</v>
      </c>
      <c r="D357" s="3">
        <v>146</v>
      </c>
      <c r="E357" s="32">
        <f t="shared" si="11"/>
        <v>3.6246575342465754</v>
      </c>
      <c r="F357" s="4">
        <f t="shared" si="12"/>
        <v>0.15102739726027398</v>
      </c>
      <c r="J357" s="5"/>
    </row>
    <row r="358" spans="1:10" x14ac:dyDescent="0.25">
      <c r="A358" s="34">
        <v>45283</v>
      </c>
      <c r="B358" s="3">
        <v>326</v>
      </c>
      <c r="C358" s="3">
        <v>150</v>
      </c>
      <c r="D358" s="3">
        <v>146</v>
      </c>
      <c r="E358" s="32">
        <f t="shared" si="11"/>
        <v>2.2328767123287672</v>
      </c>
      <c r="F358" s="4">
        <f t="shared" si="12"/>
        <v>9.3036529680365299E-2</v>
      </c>
      <c r="J358" s="5"/>
    </row>
    <row r="359" spans="1:10" x14ac:dyDescent="0.25">
      <c r="A359" s="34">
        <v>45284</v>
      </c>
      <c r="B359" s="3">
        <v>579</v>
      </c>
      <c r="C359" s="3">
        <v>150</v>
      </c>
      <c r="D359" s="3">
        <v>146</v>
      </c>
      <c r="E359" s="32">
        <f t="shared" si="11"/>
        <v>3.9657534246575343</v>
      </c>
      <c r="F359" s="4">
        <f t="shared" si="12"/>
        <v>0.16523972602739725</v>
      </c>
      <c r="J359" s="5"/>
    </row>
    <row r="360" spans="1:10" x14ac:dyDescent="0.25">
      <c r="A360" s="34">
        <v>45285</v>
      </c>
      <c r="B360" s="3">
        <v>696.8</v>
      </c>
      <c r="C360" s="3">
        <v>150</v>
      </c>
      <c r="D360" s="3">
        <v>146</v>
      </c>
      <c r="E360" s="32">
        <f t="shared" si="11"/>
        <v>4.7726027397260271</v>
      </c>
      <c r="F360" s="4">
        <f t="shared" si="12"/>
        <v>0.19885844748858447</v>
      </c>
      <c r="J360" s="5"/>
    </row>
    <row r="361" spans="1:10" x14ac:dyDescent="0.25">
      <c r="A361" s="34">
        <v>45286</v>
      </c>
      <c r="B361" s="3">
        <v>647.4</v>
      </c>
      <c r="C361" s="3">
        <v>150</v>
      </c>
      <c r="D361" s="3">
        <v>146</v>
      </c>
      <c r="E361" s="32">
        <f>B361/D361</f>
        <v>4.434246575342466</v>
      </c>
      <c r="F361" s="4">
        <f t="shared" si="12"/>
        <v>0.18476027397260272</v>
      </c>
      <c r="J361" s="5"/>
    </row>
    <row r="362" spans="1:10" x14ac:dyDescent="0.25">
      <c r="A362" s="34">
        <v>45287</v>
      </c>
      <c r="B362" s="3">
        <v>641.4</v>
      </c>
      <c r="C362" s="3">
        <v>150</v>
      </c>
      <c r="D362" s="3">
        <v>146</v>
      </c>
      <c r="E362" s="32">
        <f t="shared" si="11"/>
        <v>4.3931506849315065</v>
      </c>
      <c r="F362" s="4">
        <f t="shared" si="12"/>
        <v>0.18304794520547946</v>
      </c>
      <c r="J362" s="5"/>
    </row>
    <row r="363" spans="1:10" x14ac:dyDescent="0.25">
      <c r="A363" s="34">
        <v>45288</v>
      </c>
      <c r="B363" s="3">
        <v>645.4</v>
      </c>
      <c r="C363" s="3">
        <v>150</v>
      </c>
      <c r="D363" s="3">
        <v>146</v>
      </c>
      <c r="E363" s="32">
        <f t="shared" si="11"/>
        <v>4.4205479452054792</v>
      </c>
      <c r="F363" s="4">
        <f t="shared" si="12"/>
        <v>0.18418949771689497</v>
      </c>
      <c r="J363" s="5"/>
    </row>
    <row r="364" spans="1:10" x14ac:dyDescent="0.25">
      <c r="A364" s="34">
        <v>45289</v>
      </c>
      <c r="B364" s="3">
        <v>853</v>
      </c>
      <c r="C364" s="3">
        <v>150</v>
      </c>
      <c r="D364" s="3">
        <v>146</v>
      </c>
      <c r="E364" s="32">
        <f t="shared" si="11"/>
        <v>5.8424657534246576</v>
      </c>
      <c r="F364" s="4">
        <f t="shared" si="12"/>
        <v>0.24343607305936074</v>
      </c>
      <c r="J364" s="5"/>
    </row>
    <row r="365" spans="1:10" x14ac:dyDescent="0.25">
      <c r="A365" s="34">
        <v>45290</v>
      </c>
      <c r="B365" s="3">
        <v>603.5</v>
      </c>
      <c r="C365" s="3">
        <v>150</v>
      </c>
      <c r="D365" s="3">
        <v>146</v>
      </c>
      <c r="E365" s="32">
        <f>B365/D365</f>
        <v>4.1335616438356162</v>
      </c>
      <c r="F365" s="4">
        <f>B365/(24*D365)</f>
        <v>0.17223173515981735</v>
      </c>
      <c r="J365" s="5"/>
    </row>
    <row r="366" spans="1:10" x14ac:dyDescent="0.25">
      <c r="A366" s="34">
        <v>45291</v>
      </c>
      <c r="B366" s="3">
        <v>532.4</v>
      </c>
      <c r="C366" s="3">
        <v>150</v>
      </c>
      <c r="D366" s="3">
        <v>146</v>
      </c>
      <c r="E366" s="32">
        <f t="shared" si="11"/>
        <v>3.6465753424657534</v>
      </c>
      <c r="F366" s="4">
        <f t="shared" si="12"/>
        <v>0.15194063926940637</v>
      </c>
      <c r="J366" s="5"/>
    </row>
    <row r="367" spans="1:10" x14ac:dyDescent="0.25">
      <c r="J367" s="5"/>
    </row>
    <row r="368" spans="1:10" x14ac:dyDescent="0.25">
      <c r="J368" s="5"/>
    </row>
    <row r="369" spans="10:10" x14ac:dyDescent="0.25">
      <c r="J369" s="5"/>
    </row>
    <row r="370" spans="10:10" x14ac:dyDescent="0.25">
      <c r="J370" s="5"/>
    </row>
    <row r="371" spans="10:10" x14ac:dyDescent="0.25">
      <c r="J371" s="5"/>
    </row>
    <row r="372" spans="10:10" x14ac:dyDescent="0.25">
      <c r="J372" s="5"/>
    </row>
    <row r="373" spans="10:10" x14ac:dyDescent="0.25">
      <c r="J373" s="5"/>
    </row>
    <row r="374" spans="10:10" x14ac:dyDescent="0.25">
      <c r="J374" s="5"/>
    </row>
    <row r="375" spans="10:10" x14ac:dyDescent="0.25">
      <c r="J375" s="5"/>
    </row>
    <row r="376" spans="10:10" x14ac:dyDescent="0.25">
      <c r="J376" s="5"/>
    </row>
    <row r="377" spans="10:10" x14ac:dyDescent="0.25">
      <c r="J377" s="5"/>
    </row>
    <row r="378" spans="10:10" x14ac:dyDescent="0.25">
      <c r="J378" s="5"/>
    </row>
    <row r="379" spans="10:10" x14ac:dyDescent="0.25">
      <c r="J379" s="5"/>
    </row>
    <row r="380" spans="10:10" x14ac:dyDescent="0.25">
      <c r="J380" s="5"/>
    </row>
    <row r="381" spans="10:10" x14ac:dyDescent="0.25">
      <c r="J381" s="5"/>
    </row>
    <row r="382" spans="10:10" x14ac:dyDescent="0.25">
      <c r="J382" s="5"/>
    </row>
    <row r="383" spans="10:10" x14ac:dyDescent="0.25">
      <c r="J383" s="5"/>
    </row>
    <row r="384" spans="10:10" x14ac:dyDescent="0.25">
      <c r="J384" s="5"/>
    </row>
  </sheetData>
  <mergeCells count="2">
    <mergeCell ref="Q1:R1"/>
    <mergeCell ref="J23:N23"/>
  </mergeCells>
  <phoneticPr fontId="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8EBD8-FE98-4FB2-A133-2E818251EA25}">
  <sheetPr codeName="Planilha3"/>
  <dimension ref="A1:R367"/>
  <sheetViews>
    <sheetView workbookViewId="0">
      <selection activeCell="G10" sqref="G10"/>
    </sheetView>
  </sheetViews>
  <sheetFormatPr defaultRowHeight="15" x14ac:dyDescent="0.25"/>
  <cols>
    <col min="1" max="1" width="15.28515625" bestFit="1" customWidth="1"/>
    <col min="2" max="2" width="14.28515625" bestFit="1" customWidth="1"/>
    <col min="3" max="3" width="23" bestFit="1" customWidth="1"/>
    <col min="4" max="4" width="11.42578125" bestFit="1" customWidth="1"/>
    <col min="5" max="5" width="16.28515625" bestFit="1" customWidth="1"/>
    <col min="6" max="6" width="18.28515625" style="2" bestFit="1" customWidth="1"/>
    <col min="7" max="7" width="23.28515625" bestFit="1" customWidth="1"/>
    <col min="9" max="9" width="10.42578125" bestFit="1" customWidth="1"/>
    <col min="10" max="10" width="26.85546875" bestFit="1" customWidth="1"/>
    <col min="11" max="11" width="30.5703125" bestFit="1" customWidth="1"/>
    <col min="12" max="12" width="24.7109375" bestFit="1" customWidth="1"/>
    <col min="13" max="13" width="17.28515625" bestFit="1" customWidth="1"/>
    <col min="14" max="14" width="18.42578125" bestFit="1" customWidth="1"/>
    <col min="16" max="16" width="13.28515625" bestFit="1" customWidth="1"/>
    <col min="17" max="17" width="9.7109375" bestFit="1" customWidth="1"/>
    <col min="18" max="18" width="28.7109375" customWidth="1"/>
  </cols>
  <sheetData>
    <row r="1" spans="1:18" x14ac:dyDescent="0.25">
      <c r="A1" s="8" t="s">
        <v>0</v>
      </c>
      <c r="B1" s="9" t="s">
        <v>1</v>
      </c>
      <c r="C1" s="8" t="s">
        <v>2</v>
      </c>
      <c r="D1" s="9" t="s">
        <v>3</v>
      </c>
      <c r="E1" s="8" t="s">
        <v>4</v>
      </c>
      <c r="F1" s="40" t="s">
        <v>5</v>
      </c>
      <c r="G1" s="9" t="s">
        <v>19</v>
      </c>
      <c r="I1">
        <v>2024</v>
      </c>
      <c r="J1" s="6" t="s">
        <v>22</v>
      </c>
      <c r="K1" s="6" t="s">
        <v>59</v>
      </c>
      <c r="L1" s="6" t="s">
        <v>20</v>
      </c>
      <c r="M1" s="7" t="s">
        <v>6</v>
      </c>
      <c r="N1" s="27" t="s">
        <v>29</v>
      </c>
      <c r="P1" s="10" t="s">
        <v>23</v>
      </c>
      <c r="Q1" s="67" t="s">
        <v>24</v>
      </c>
      <c r="R1" s="68"/>
    </row>
    <row r="2" spans="1:18" x14ac:dyDescent="0.25">
      <c r="A2" s="51">
        <v>45292.999305555553</v>
      </c>
      <c r="B2" s="3">
        <v>313.7</v>
      </c>
      <c r="C2" s="3">
        <v>150</v>
      </c>
      <c r="D2" s="3">
        <v>146</v>
      </c>
      <c r="E2" s="52">
        <f>B2/D2</f>
        <v>2.1486301369863012</v>
      </c>
      <c r="F2" s="48">
        <f>B2/(24*D2)</f>
        <v>8.9526255707762556E-2</v>
      </c>
      <c r="G2" s="47">
        <f>SUM(E2:E367)</f>
        <v>1294.506164383562</v>
      </c>
      <c r="I2" s="10" t="s">
        <v>7</v>
      </c>
      <c r="J2" s="41">
        <f>AVERAGE(B2:B32)</f>
        <v>585.21290322580637</v>
      </c>
      <c r="K2" s="61">
        <f>SUM(B2:B32)/1000</f>
        <v>18.141599999999997</v>
      </c>
      <c r="L2" s="16">
        <f>SUM(E2:E32)</f>
        <v>124.25753424657535</v>
      </c>
      <c r="M2" s="18">
        <f>K2*1000/(R2*146*31)</f>
        <v>0.69108750971398958</v>
      </c>
      <c r="N2" s="18">
        <f>MEDIAN(F2:F32)</f>
        <v>0.16663812785388127</v>
      </c>
      <c r="P2" s="15" t="s">
        <v>25</v>
      </c>
      <c r="Q2" s="13" t="s">
        <v>7</v>
      </c>
      <c r="R2" s="16">
        <v>5.8</v>
      </c>
    </row>
    <row r="3" spans="1:18" x14ac:dyDescent="0.25">
      <c r="A3" s="51">
        <v>45293.999305555553</v>
      </c>
      <c r="B3" s="3">
        <v>496.6</v>
      </c>
      <c r="C3" s="3">
        <v>150</v>
      </c>
      <c r="D3" s="3">
        <v>146</v>
      </c>
      <c r="E3" s="52">
        <f t="shared" ref="E3:E66" si="0">B3/D3</f>
        <v>3.4013698630136986</v>
      </c>
      <c r="F3" s="48">
        <f>B3/(24*D3)</f>
        <v>0.14172374429223744</v>
      </c>
      <c r="G3" s="50" t="s">
        <v>27</v>
      </c>
      <c r="I3" s="6" t="s">
        <v>8</v>
      </c>
      <c r="J3" s="42">
        <f>AVERAGE(B33:B61)</f>
        <v>593.98275862068965</v>
      </c>
      <c r="K3" s="62">
        <f>SUM(B33:B61)/1000</f>
        <v>17.2255</v>
      </c>
      <c r="L3" s="20">
        <f>SUM(E33:E61)</f>
        <v>117.98287671232879</v>
      </c>
      <c r="M3" s="18">
        <f>K3*1000/(R3*146*29)</f>
        <v>0.68033027743241126</v>
      </c>
      <c r="N3" s="28">
        <f>MEDIAN(F33:F61)</f>
        <v>0.18370433789954338</v>
      </c>
      <c r="P3" s="1"/>
      <c r="Q3" s="14" t="s">
        <v>8</v>
      </c>
      <c r="R3" s="19">
        <v>5.98</v>
      </c>
    </row>
    <row r="4" spans="1:18" x14ac:dyDescent="0.25">
      <c r="A4" s="51">
        <v>45294.999305555553</v>
      </c>
      <c r="B4" s="3">
        <v>211.5</v>
      </c>
      <c r="C4" s="3">
        <v>150</v>
      </c>
      <c r="D4" s="3">
        <v>146</v>
      </c>
      <c r="E4" s="52">
        <f>B4/D4</f>
        <v>1.4486301369863013</v>
      </c>
      <c r="F4" s="48">
        <f t="shared" ref="F4:F66" si="1">B4/(24*D4)</f>
        <v>6.0359589041095889E-2</v>
      </c>
      <c r="I4" s="10" t="s">
        <v>9</v>
      </c>
      <c r="J4" s="41">
        <f>AVERAGE(B62:B92)</f>
        <v>574.43548387096769</v>
      </c>
      <c r="K4" s="61">
        <f>SUM(B62:B92)/1000</f>
        <v>17.807500000000001</v>
      </c>
      <c r="L4" s="16">
        <f>SUM(E62:E92)</f>
        <v>121.9691780821918</v>
      </c>
      <c r="M4" s="18">
        <f>K4*1000/(R4*146*31)</f>
        <v>0.76397856612710158</v>
      </c>
      <c r="N4" s="18">
        <f>MEDIAN(F62:F92)</f>
        <v>0.17097602739726028</v>
      </c>
      <c r="P4" s="1"/>
      <c r="Q4" s="13" t="s">
        <v>9</v>
      </c>
      <c r="R4" s="16">
        <v>5.15</v>
      </c>
    </row>
    <row r="5" spans="1:18" x14ac:dyDescent="0.25">
      <c r="A5" s="51">
        <v>45295.999305555553</v>
      </c>
      <c r="B5" s="3">
        <v>210.8</v>
      </c>
      <c r="C5" s="3">
        <v>150</v>
      </c>
      <c r="D5" s="3">
        <v>146</v>
      </c>
      <c r="E5" s="52">
        <f t="shared" si="0"/>
        <v>1.4438356164383563</v>
      </c>
      <c r="F5" s="48">
        <f t="shared" si="1"/>
        <v>6.0159817351598179E-2</v>
      </c>
      <c r="I5" s="6" t="s">
        <v>10</v>
      </c>
      <c r="J5" s="41">
        <f>AVERAGE(B93:B122)</f>
        <v>570.34999999999991</v>
      </c>
      <c r="K5" s="62">
        <f>SUM(B93:B122)/1000</f>
        <v>17.110499999999995</v>
      </c>
      <c r="L5" s="20">
        <f>SUM(E93:E122)</f>
        <v>117.19520547945204</v>
      </c>
      <c r="M5" s="18">
        <f>K5*1000/(R5*146*30)</f>
        <v>0.81726084713704339</v>
      </c>
      <c r="N5" s="28">
        <f>MEDIAN(F93:F122)</f>
        <v>0.16829337899543378</v>
      </c>
      <c r="P5" s="1"/>
      <c r="Q5" s="15" t="s">
        <v>10</v>
      </c>
      <c r="R5" s="20">
        <v>4.78</v>
      </c>
    </row>
    <row r="6" spans="1:18" x14ac:dyDescent="0.25">
      <c r="A6" s="51">
        <v>45296.999305555553</v>
      </c>
      <c r="B6" s="3">
        <v>624.70000000000005</v>
      </c>
      <c r="C6" s="3">
        <v>150</v>
      </c>
      <c r="D6" s="3">
        <v>146</v>
      </c>
      <c r="E6" s="52">
        <f t="shared" si="0"/>
        <v>4.2787671232876718</v>
      </c>
      <c r="F6" s="48">
        <f t="shared" si="1"/>
        <v>0.17828196347031966</v>
      </c>
      <c r="I6" s="10" t="s">
        <v>11</v>
      </c>
      <c r="J6" s="41">
        <f>AVERAGE(B123:B153)</f>
        <v>515.74193548387098</v>
      </c>
      <c r="K6" s="61">
        <f>SUM(B123:B153)/1000</f>
        <v>15.988</v>
      </c>
      <c r="L6" s="16">
        <f>SUM(E123:E153)</f>
        <v>109.50684931506848</v>
      </c>
      <c r="M6" s="18">
        <f t="shared" ref="M6:M13" si="2">K6*1000/(R6*146*31)</f>
        <v>0.84711726862434056</v>
      </c>
      <c r="N6" s="18">
        <f>MEDIAN(F123:F153)</f>
        <v>0.14900114155251143</v>
      </c>
      <c r="P6" s="1"/>
      <c r="Q6" s="13" t="s">
        <v>11</v>
      </c>
      <c r="R6" s="16">
        <v>4.17</v>
      </c>
    </row>
    <row r="7" spans="1:18" x14ac:dyDescent="0.25">
      <c r="A7" s="51">
        <v>45297.999305555553</v>
      </c>
      <c r="B7" s="3">
        <v>762.6</v>
      </c>
      <c r="C7" s="3">
        <v>150</v>
      </c>
      <c r="D7" s="3">
        <v>146</v>
      </c>
      <c r="E7" s="52">
        <f t="shared" si="0"/>
        <v>5.2232876712328773</v>
      </c>
      <c r="F7" s="48">
        <f t="shared" si="1"/>
        <v>0.21763698630136988</v>
      </c>
      <c r="I7" s="6" t="s">
        <v>12</v>
      </c>
      <c r="J7" s="41">
        <f>AVERAGE(B154:B183)</f>
        <v>423.76</v>
      </c>
      <c r="K7" s="62">
        <f>SUM(B154:B183)/1000</f>
        <v>12.7128</v>
      </c>
      <c r="L7" s="20">
        <f>SUM(E154:E183)</f>
        <v>87.073972602739715</v>
      </c>
      <c r="M7" s="18">
        <f t="shared" si="2"/>
        <v>0.69183197682138653</v>
      </c>
      <c r="N7" s="28">
        <f>MEDIAN(F154:F183)</f>
        <v>0.12384417808219178</v>
      </c>
      <c r="P7" s="1"/>
      <c r="Q7" s="15" t="s">
        <v>12</v>
      </c>
      <c r="R7" s="20">
        <v>4.0599999999999996</v>
      </c>
    </row>
    <row r="8" spans="1:18" x14ac:dyDescent="0.25">
      <c r="A8" s="51">
        <v>45298.999305555553</v>
      </c>
      <c r="B8" s="3">
        <v>625.6</v>
      </c>
      <c r="C8" s="3">
        <v>150</v>
      </c>
      <c r="D8" s="3">
        <v>146</v>
      </c>
      <c r="E8" s="52">
        <f t="shared" si="0"/>
        <v>4.2849315068493148</v>
      </c>
      <c r="F8" s="48">
        <f t="shared" si="1"/>
        <v>0.17853881278538813</v>
      </c>
      <c r="I8" s="10" t="s">
        <v>13</v>
      </c>
      <c r="J8" s="41">
        <f>AVERAGE(B184:B214)</f>
        <v>411.20967741935476</v>
      </c>
      <c r="K8" s="61">
        <f>SUM(B184:B214)/1000</f>
        <v>12.747499999999999</v>
      </c>
      <c r="L8" s="16">
        <f>SUM(E184:E214)</f>
        <v>87.311643835616451</v>
      </c>
      <c r="M8" s="18">
        <f t="shared" si="2"/>
        <v>0.65806183174266231</v>
      </c>
      <c r="N8" s="18">
        <f>MEDIAN(F184:F214)</f>
        <v>0.12320205479452054</v>
      </c>
      <c r="P8" s="1"/>
      <c r="Q8" s="13" t="s">
        <v>13</v>
      </c>
      <c r="R8" s="16">
        <v>4.28</v>
      </c>
    </row>
    <row r="9" spans="1:18" x14ac:dyDescent="0.25">
      <c r="A9" s="51">
        <v>45299.999305555553</v>
      </c>
      <c r="B9" s="3">
        <v>552.9</v>
      </c>
      <c r="C9" s="3">
        <v>150</v>
      </c>
      <c r="D9" s="3">
        <v>146</v>
      </c>
      <c r="E9" s="52">
        <f t="shared" si="0"/>
        <v>3.786986301369863</v>
      </c>
      <c r="F9" s="48">
        <f t="shared" si="1"/>
        <v>0.15779109589041096</v>
      </c>
      <c r="I9" s="6" t="s">
        <v>14</v>
      </c>
      <c r="J9" s="41">
        <f>AVERAGE(B215:B245)</f>
        <v>444.10645161290324</v>
      </c>
      <c r="K9" s="62">
        <f>SUM(B215:B245)/1000</f>
        <v>13.767300000000001</v>
      </c>
      <c r="L9" s="20">
        <f>SUM(E215:E245)</f>
        <v>94.296575342465744</v>
      </c>
      <c r="M9" s="18">
        <f t="shared" si="2"/>
        <v>0.59064563321306451</v>
      </c>
      <c r="N9" s="28">
        <f>MEDIAN(F215:F245)</f>
        <v>0.13447488584474884</v>
      </c>
      <c r="P9" s="1"/>
      <c r="Q9" s="15" t="s">
        <v>14</v>
      </c>
      <c r="R9" s="20">
        <v>5.15</v>
      </c>
    </row>
    <row r="10" spans="1:18" x14ac:dyDescent="0.25">
      <c r="A10" s="51">
        <v>45300.999305555553</v>
      </c>
      <c r="B10" s="3">
        <v>533.29999999999995</v>
      </c>
      <c r="C10" s="3">
        <v>150</v>
      </c>
      <c r="D10" s="3">
        <v>146</v>
      </c>
      <c r="E10" s="52">
        <f t="shared" si="0"/>
        <v>3.6527397260273968</v>
      </c>
      <c r="F10" s="48">
        <f t="shared" si="1"/>
        <v>0.15219748858447488</v>
      </c>
      <c r="I10" s="10" t="s">
        <v>15</v>
      </c>
      <c r="J10" s="41">
        <f>AVERAGE(B246:B275)</f>
        <v>480.25666666666677</v>
      </c>
      <c r="K10" s="61">
        <f>SUM(B246:B275)/1000</f>
        <v>14.407700000000002</v>
      </c>
      <c r="L10" s="16">
        <f>SUM(E246:E275)</f>
        <v>98.682876712328763</v>
      </c>
      <c r="M10" s="18">
        <f t="shared" si="2"/>
        <v>0.57460624614142763</v>
      </c>
      <c r="N10" s="18">
        <f>MEDIAN(F246:F275)</f>
        <v>0.13974029680365296</v>
      </c>
      <c r="P10" s="1"/>
      <c r="Q10" s="13" t="s">
        <v>15</v>
      </c>
      <c r="R10" s="16">
        <v>5.54</v>
      </c>
    </row>
    <row r="11" spans="1:18" x14ac:dyDescent="0.25">
      <c r="A11" s="51">
        <v>45301.999305555553</v>
      </c>
      <c r="B11" s="3">
        <v>621</v>
      </c>
      <c r="C11" s="3">
        <v>150</v>
      </c>
      <c r="D11" s="3">
        <v>146</v>
      </c>
      <c r="E11" s="52">
        <f t="shared" si="0"/>
        <v>4.2534246575342465</v>
      </c>
      <c r="F11" s="48">
        <f t="shared" si="1"/>
        <v>0.17722602739726026</v>
      </c>
      <c r="I11" s="6" t="s">
        <v>16</v>
      </c>
      <c r="J11" s="41">
        <f>AVERAGE(B276:B306)</f>
        <v>503.19677419354832</v>
      </c>
      <c r="K11" s="62">
        <f>SUM(B276:B306)/1000</f>
        <v>15.599099999999998</v>
      </c>
      <c r="L11" s="20">
        <f>SUM(E276:E306)</f>
        <v>106.84315068493149</v>
      </c>
      <c r="M11" s="18">
        <f t="shared" si="2"/>
        <v>0.60893166924046216</v>
      </c>
      <c r="N11" s="28">
        <f>MEDIAN(F276:F306)</f>
        <v>0.14218036529680364</v>
      </c>
      <c r="P11" s="1"/>
      <c r="Q11" s="15" t="s">
        <v>16</v>
      </c>
      <c r="R11" s="20">
        <v>5.66</v>
      </c>
    </row>
    <row r="12" spans="1:18" x14ac:dyDescent="0.25">
      <c r="A12" s="51">
        <v>45302.999305555553</v>
      </c>
      <c r="B12" s="3">
        <v>580.4</v>
      </c>
      <c r="C12" s="3">
        <v>150</v>
      </c>
      <c r="D12" s="3">
        <v>146</v>
      </c>
      <c r="E12" s="52">
        <f t="shared" si="0"/>
        <v>3.9753424657534246</v>
      </c>
      <c r="F12" s="48">
        <f t="shared" si="1"/>
        <v>0.16563926940639268</v>
      </c>
      <c r="I12" s="10" t="s">
        <v>17</v>
      </c>
      <c r="J12" s="41">
        <f>AVERAGE(B307:B336)</f>
        <v>552.16</v>
      </c>
      <c r="K12" s="61">
        <f>SUM(B307:B336)/1000</f>
        <v>16.564799999999998</v>
      </c>
      <c r="L12" s="16">
        <f>SUM(E307:E336)</f>
        <v>113.45753424657534</v>
      </c>
      <c r="M12" s="18">
        <f t="shared" si="2"/>
        <v>0.68409728216204613</v>
      </c>
      <c r="N12" s="18">
        <f>MEDIAN(F307:F336)</f>
        <v>0.17206050228310504</v>
      </c>
      <c r="P12" s="1"/>
      <c r="Q12" s="13" t="s">
        <v>17</v>
      </c>
      <c r="R12" s="16">
        <v>5.35</v>
      </c>
    </row>
    <row r="13" spans="1:18" x14ac:dyDescent="0.25">
      <c r="A13" s="51">
        <v>45303.999305555553</v>
      </c>
      <c r="B13" s="3">
        <v>662.3</v>
      </c>
      <c r="C13" s="3">
        <v>150</v>
      </c>
      <c r="D13" s="3">
        <v>146</v>
      </c>
      <c r="E13" s="52">
        <f t="shared" si="0"/>
        <v>4.536301369863013</v>
      </c>
      <c r="F13" s="48">
        <f t="shared" si="1"/>
        <v>0.18901255707762557</v>
      </c>
      <c r="I13" s="6" t="s">
        <v>18</v>
      </c>
      <c r="J13" s="41">
        <f>AVERAGE(B337:B367)</f>
        <v>545.98709677419345</v>
      </c>
      <c r="K13" s="62">
        <f>SUM(B337:B367)/1000</f>
        <v>16.925599999999999</v>
      </c>
      <c r="L13" s="20">
        <f>SUM(E337:E367)</f>
        <v>115.92876712328767</v>
      </c>
      <c r="M13" s="18">
        <f t="shared" si="2"/>
        <v>0.66305632076920418</v>
      </c>
      <c r="N13" s="28">
        <f>MEDIAN(F337:F367)</f>
        <v>0.14623287671232876</v>
      </c>
      <c r="P13" s="1"/>
      <c r="Q13" s="15" t="s">
        <v>18</v>
      </c>
      <c r="R13" s="20">
        <v>5.64</v>
      </c>
    </row>
    <row r="14" spans="1:18" x14ac:dyDescent="0.25">
      <c r="A14" s="51">
        <v>45304.999305555553</v>
      </c>
      <c r="B14" s="3">
        <v>583.9</v>
      </c>
      <c r="C14" s="3">
        <v>150</v>
      </c>
      <c r="D14" s="3">
        <v>146</v>
      </c>
      <c r="E14" s="52">
        <f t="shared" si="0"/>
        <v>3.9993150684931504</v>
      </c>
      <c r="F14" s="48">
        <f t="shared" si="1"/>
        <v>0.16663812785388127</v>
      </c>
      <c r="I14" s="22" t="s">
        <v>28</v>
      </c>
      <c r="J14" s="43">
        <f>SUM(J2:J13)/12</f>
        <v>516.69997898900021</v>
      </c>
      <c r="K14" s="63">
        <f>SUM(K2:K13)</f>
        <v>188.99789999999999</v>
      </c>
      <c r="L14" s="33">
        <f>SUM(L2:L13)</f>
        <v>1294.5061643835613</v>
      </c>
      <c r="M14" s="24">
        <f>K14*1000/(R14*146*365)</f>
        <v>0.69134351485143075</v>
      </c>
      <c r="N14" s="26">
        <f>MEDIAN(N2:N13)</f>
        <v>0.1476170091324201</v>
      </c>
      <c r="P14" s="1"/>
      <c r="Q14" s="29" t="s">
        <v>26</v>
      </c>
      <c r="R14" s="16">
        <v>5.13</v>
      </c>
    </row>
    <row r="15" spans="1:18" x14ac:dyDescent="0.25">
      <c r="A15" s="51">
        <v>45305.999305555553</v>
      </c>
      <c r="B15" s="3">
        <v>539.79999999999995</v>
      </c>
      <c r="C15" s="3">
        <v>150</v>
      </c>
      <c r="D15" s="3">
        <v>146</v>
      </c>
      <c r="E15" s="52">
        <f t="shared" si="0"/>
        <v>3.6972602739726024</v>
      </c>
      <c r="F15" s="48">
        <f t="shared" si="1"/>
        <v>0.15405251141552509</v>
      </c>
    </row>
    <row r="16" spans="1:18" x14ac:dyDescent="0.25">
      <c r="A16" s="51">
        <v>45306.999305555553</v>
      </c>
      <c r="B16" s="3">
        <v>574.9</v>
      </c>
      <c r="C16" s="3">
        <v>150</v>
      </c>
      <c r="D16" s="3">
        <v>146</v>
      </c>
      <c r="E16" s="52">
        <f t="shared" si="0"/>
        <v>3.9376712328767121</v>
      </c>
      <c r="F16" s="48">
        <f t="shared" si="1"/>
        <v>0.16406963470319635</v>
      </c>
    </row>
    <row r="17" spans="1:6" x14ac:dyDescent="0.25">
      <c r="A17" s="51">
        <v>45307.999305555553</v>
      </c>
      <c r="B17" s="3">
        <v>832</v>
      </c>
      <c r="C17" s="3">
        <v>150</v>
      </c>
      <c r="D17" s="3">
        <v>146</v>
      </c>
      <c r="E17" s="52">
        <f t="shared" si="0"/>
        <v>5.6986301369863011</v>
      </c>
      <c r="F17" s="48">
        <f t="shared" si="1"/>
        <v>0.23744292237442921</v>
      </c>
    </row>
    <row r="18" spans="1:6" x14ac:dyDescent="0.25">
      <c r="A18" s="51">
        <v>45308.999305555553</v>
      </c>
      <c r="B18" s="3">
        <v>724.5</v>
      </c>
      <c r="C18" s="3">
        <v>150</v>
      </c>
      <c r="D18" s="3">
        <v>146</v>
      </c>
      <c r="E18" s="52">
        <f t="shared" si="0"/>
        <v>4.9623287671232879</v>
      </c>
      <c r="F18" s="48">
        <f t="shared" si="1"/>
        <v>0.20676369863013699</v>
      </c>
    </row>
    <row r="19" spans="1:6" x14ac:dyDescent="0.25">
      <c r="A19" s="51">
        <v>45309.999305555553</v>
      </c>
      <c r="B19" s="3">
        <v>879.8</v>
      </c>
      <c r="C19" s="3">
        <v>150</v>
      </c>
      <c r="D19" s="3">
        <v>146</v>
      </c>
      <c r="E19" s="52">
        <f t="shared" si="0"/>
        <v>6.0260273972602736</v>
      </c>
      <c r="F19" s="48">
        <f t="shared" si="1"/>
        <v>0.25108447488584473</v>
      </c>
    </row>
    <row r="20" spans="1:6" x14ac:dyDescent="0.25">
      <c r="A20" s="51">
        <v>45310.999305555553</v>
      </c>
      <c r="B20" s="3">
        <v>643.4</v>
      </c>
      <c r="C20" s="3">
        <v>150</v>
      </c>
      <c r="D20" s="3">
        <v>146</v>
      </c>
      <c r="E20" s="52">
        <f t="shared" si="0"/>
        <v>4.4068493150684933</v>
      </c>
      <c r="F20" s="48">
        <f t="shared" si="1"/>
        <v>0.18361872146118721</v>
      </c>
    </row>
    <row r="21" spans="1:6" x14ac:dyDescent="0.25">
      <c r="A21" s="51">
        <v>45311.999305555553</v>
      </c>
      <c r="B21" s="3">
        <v>823</v>
      </c>
      <c r="C21" s="3">
        <v>150</v>
      </c>
      <c r="D21" s="3">
        <v>146</v>
      </c>
      <c r="E21" s="52">
        <f t="shared" si="0"/>
        <v>5.6369863013698627</v>
      </c>
      <c r="F21" s="48">
        <f t="shared" si="1"/>
        <v>0.2348744292237443</v>
      </c>
    </row>
    <row r="22" spans="1:6" x14ac:dyDescent="0.25">
      <c r="A22" s="51">
        <v>45312.999305555553</v>
      </c>
      <c r="B22" s="3">
        <v>529.1</v>
      </c>
      <c r="C22" s="3">
        <v>150</v>
      </c>
      <c r="D22" s="3">
        <v>146</v>
      </c>
      <c r="E22" s="52">
        <f t="shared" si="0"/>
        <v>3.6239726027397263</v>
      </c>
      <c r="F22" s="48">
        <f t="shared" si="1"/>
        <v>0.15099885844748859</v>
      </c>
    </row>
    <row r="23" spans="1:6" x14ac:dyDescent="0.25">
      <c r="A23" s="51">
        <v>45313.999305555553</v>
      </c>
      <c r="B23" s="3">
        <v>616.5</v>
      </c>
      <c r="C23" s="3">
        <v>150</v>
      </c>
      <c r="D23" s="3">
        <v>146</v>
      </c>
      <c r="E23" s="52">
        <f t="shared" si="0"/>
        <v>4.2226027397260273</v>
      </c>
      <c r="F23" s="48">
        <f t="shared" si="1"/>
        <v>0.1759417808219178</v>
      </c>
    </row>
    <row r="24" spans="1:6" x14ac:dyDescent="0.25">
      <c r="A24" s="51">
        <v>45314.999305555553</v>
      </c>
      <c r="B24" s="3">
        <v>557.6</v>
      </c>
      <c r="C24" s="3">
        <v>150</v>
      </c>
      <c r="D24" s="3">
        <v>146</v>
      </c>
      <c r="E24" s="52">
        <f t="shared" si="0"/>
        <v>3.8191780821917809</v>
      </c>
      <c r="F24" s="48">
        <f t="shared" si="1"/>
        <v>0.15913242009132419</v>
      </c>
    </row>
    <row r="25" spans="1:6" x14ac:dyDescent="0.25">
      <c r="A25" s="51">
        <v>45315.999305555553</v>
      </c>
      <c r="B25" s="3">
        <v>586.70000000000005</v>
      </c>
      <c r="C25" s="3">
        <v>150</v>
      </c>
      <c r="D25" s="3">
        <v>146</v>
      </c>
      <c r="E25" s="52">
        <f t="shared" si="0"/>
        <v>4.0184931506849315</v>
      </c>
      <c r="F25" s="48">
        <f t="shared" si="1"/>
        <v>0.16743721461187216</v>
      </c>
    </row>
    <row r="26" spans="1:6" x14ac:dyDescent="0.25">
      <c r="A26" s="51">
        <v>45316.999305555553</v>
      </c>
      <c r="B26" s="3">
        <v>642.79999999999995</v>
      </c>
      <c r="C26" s="3">
        <v>150</v>
      </c>
      <c r="D26" s="3">
        <v>146</v>
      </c>
      <c r="E26" s="52">
        <f t="shared" si="0"/>
        <v>4.4027397260273968</v>
      </c>
      <c r="F26" s="48">
        <f t="shared" si="1"/>
        <v>0.18344748858447488</v>
      </c>
    </row>
    <row r="27" spans="1:6" x14ac:dyDescent="0.25">
      <c r="A27" s="51">
        <v>45317.999305555553</v>
      </c>
      <c r="B27" s="3">
        <v>578.1</v>
      </c>
      <c r="C27" s="3">
        <v>150</v>
      </c>
      <c r="D27" s="3">
        <v>146</v>
      </c>
      <c r="E27" s="52">
        <f t="shared" si="0"/>
        <v>3.9595890410958905</v>
      </c>
      <c r="F27" s="48">
        <f t="shared" si="1"/>
        <v>0.16498287671232878</v>
      </c>
    </row>
    <row r="28" spans="1:6" x14ac:dyDescent="0.25">
      <c r="A28" s="51">
        <v>45318.999305555553</v>
      </c>
      <c r="B28" s="3">
        <v>439</v>
      </c>
      <c r="C28" s="3">
        <v>150</v>
      </c>
      <c r="D28" s="3">
        <v>146</v>
      </c>
      <c r="E28" s="52">
        <f t="shared" si="0"/>
        <v>3.006849315068493</v>
      </c>
      <c r="F28" s="48">
        <f t="shared" si="1"/>
        <v>0.12528538812785389</v>
      </c>
    </row>
    <row r="29" spans="1:6" x14ac:dyDescent="0.25">
      <c r="A29" s="51">
        <v>45319.999305555553</v>
      </c>
      <c r="B29" s="3">
        <v>564.5</v>
      </c>
      <c r="C29" s="3">
        <v>150</v>
      </c>
      <c r="D29" s="3">
        <v>146</v>
      </c>
      <c r="E29" s="52">
        <f t="shared" si="0"/>
        <v>3.8664383561643834</v>
      </c>
      <c r="F29" s="48">
        <f t="shared" si="1"/>
        <v>0.16110159817351599</v>
      </c>
    </row>
    <row r="30" spans="1:6" x14ac:dyDescent="0.25">
      <c r="A30" s="51">
        <v>45320.999305555553</v>
      </c>
      <c r="B30" s="3">
        <v>685.8</v>
      </c>
      <c r="C30" s="3">
        <v>150</v>
      </c>
      <c r="D30" s="3">
        <v>146</v>
      </c>
      <c r="E30" s="52">
        <f t="shared" si="0"/>
        <v>4.6972602739726028</v>
      </c>
      <c r="F30" s="48">
        <f t="shared" si="1"/>
        <v>0.19571917808219177</v>
      </c>
    </row>
    <row r="31" spans="1:6" x14ac:dyDescent="0.25">
      <c r="A31" s="51">
        <v>45321.999305555553</v>
      </c>
      <c r="B31" s="3">
        <v>646.79999999999995</v>
      </c>
      <c r="C31" s="3">
        <v>150</v>
      </c>
      <c r="D31" s="3">
        <v>146</v>
      </c>
      <c r="E31" s="52">
        <f t="shared" si="0"/>
        <v>4.4301369863013695</v>
      </c>
      <c r="F31" s="48">
        <f t="shared" si="1"/>
        <v>0.18458904109589039</v>
      </c>
    </row>
    <row r="32" spans="1:6" x14ac:dyDescent="0.25">
      <c r="A32" s="51">
        <v>45322.999305555553</v>
      </c>
      <c r="B32" s="3">
        <v>498</v>
      </c>
      <c r="C32" s="3">
        <v>150</v>
      </c>
      <c r="D32" s="3">
        <v>146</v>
      </c>
      <c r="E32" s="52">
        <f t="shared" si="0"/>
        <v>3.4109589041095889</v>
      </c>
      <c r="F32" s="48">
        <f t="shared" si="1"/>
        <v>0.14212328767123289</v>
      </c>
    </row>
    <row r="33" spans="1:6" x14ac:dyDescent="0.25">
      <c r="A33" s="51">
        <v>45323.999305555553</v>
      </c>
      <c r="B33" s="3">
        <v>675.3</v>
      </c>
      <c r="C33" s="3">
        <v>150</v>
      </c>
      <c r="D33" s="3">
        <v>146</v>
      </c>
      <c r="E33" s="52">
        <f t="shared" si="0"/>
        <v>4.6253424657534241</v>
      </c>
      <c r="F33" s="48">
        <f t="shared" si="1"/>
        <v>0.19272260273972602</v>
      </c>
    </row>
    <row r="34" spans="1:6" x14ac:dyDescent="0.25">
      <c r="A34" s="51">
        <v>45324.999305555553</v>
      </c>
      <c r="B34" s="3">
        <v>744.5</v>
      </c>
      <c r="C34" s="3">
        <v>150</v>
      </c>
      <c r="D34" s="3">
        <v>146</v>
      </c>
      <c r="E34" s="52">
        <f t="shared" si="0"/>
        <v>5.0993150684931505</v>
      </c>
      <c r="F34" s="48">
        <f t="shared" si="1"/>
        <v>0.21247146118721461</v>
      </c>
    </row>
    <row r="35" spans="1:6" x14ac:dyDescent="0.25">
      <c r="A35" s="51">
        <v>45325.999305555553</v>
      </c>
      <c r="B35" s="3">
        <v>745</v>
      </c>
      <c r="C35" s="3">
        <v>150</v>
      </c>
      <c r="D35" s="3">
        <v>146</v>
      </c>
      <c r="E35" s="52">
        <f t="shared" si="0"/>
        <v>5.102739726027397</v>
      </c>
      <c r="F35" s="48">
        <f t="shared" si="1"/>
        <v>0.21261415525114155</v>
      </c>
    </row>
    <row r="36" spans="1:6" x14ac:dyDescent="0.25">
      <c r="A36" s="51">
        <v>45326.999305555553</v>
      </c>
      <c r="B36" s="3">
        <v>660</v>
      </c>
      <c r="C36" s="3">
        <v>150</v>
      </c>
      <c r="D36" s="3">
        <v>146</v>
      </c>
      <c r="E36" s="52">
        <f t="shared" si="0"/>
        <v>4.5205479452054798</v>
      </c>
      <c r="F36" s="48">
        <f t="shared" si="1"/>
        <v>0.18835616438356165</v>
      </c>
    </row>
    <row r="37" spans="1:6" x14ac:dyDescent="0.25">
      <c r="A37" s="51">
        <v>45327.999305555553</v>
      </c>
      <c r="B37" s="3">
        <v>560.5</v>
      </c>
      <c r="C37" s="3">
        <v>150</v>
      </c>
      <c r="D37" s="3">
        <v>146</v>
      </c>
      <c r="E37" s="52">
        <f t="shared" si="0"/>
        <v>3.8390410958904111</v>
      </c>
      <c r="F37" s="48">
        <f t="shared" si="1"/>
        <v>0.15996004566210045</v>
      </c>
    </row>
    <row r="38" spans="1:6" x14ac:dyDescent="0.25">
      <c r="A38" s="51">
        <v>45328.999305555553</v>
      </c>
      <c r="B38" s="3">
        <v>531.6</v>
      </c>
      <c r="C38" s="3">
        <v>150</v>
      </c>
      <c r="D38" s="3">
        <v>146</v>
      </c>
      <c r="E38" s="52">
        <f t="shared" si="0"/>
        <v>3.6410958904109592</v>
      </c>
      <c r="F38" s="48">
        <f t="shared" si="1"/>
        <v>0.15171232876712329</v>
      </c>
    </row>
    <row r="39" spans="1:6" x14ac:dyDescent="0.25">
      <c r="A39" s="51">
        <v>45329.999305555553</v>
      </c>
      <c r="B39" s="3">
        <v>634.79999999999995</v>
      </c>
      <c r="C39" s="3">
        <v>150</v>
      </c>
      <c r="D39" s="3">
        <v>146</v>
      </c>
      <c r="E39" s="52">
        <f t="shared" si="0"/>
        <v>4.3479452054794514</v>
      </c>
      <c r="F39" s="48">
        <f t="shared" si="1"/>
        <v>0.18116438356164383</v>
      </c>
    </row>
    <row r="40" spans="1:6" x14ac:dyDescent="0.25">
      <c r="A40" s="51">
        <v>45330.999305555553</v>
      </c>
      <c r="B40" s="3">
        <v>437.7</v>
      </c>
      <c r="C40" s="3">
        <v>150</v>
      </c>
      <c r="D40" s="3">
        <v>146</v>
      </c>
      <c r="E40" s="52">
        <f t="shared" si="0"/>
        <v>2.9979452054794518</v>
      </c>
      <c r="F40" s="48">
        <f t="shared" si="1"/>
        <v>0.12491438356164383</v>
      </c>
    </row>
    <row r="41" spans="1:6" x14ac:dyDescent="0.25">
      <c r="A41" s="51">
        <v>45331.999305555553</v>
      </c>
      <c r="B41" s="3">
        <v>726.4</v>
      </c>
      <c r="C41" s="3">
        <v>150</v>
      </c>
      <c r="D41" s="3">
        <v>146</v>
      </c>
      <c r="E41" s="52">
        <f t="shared" si="0"/>
        <v>4.9753424657534246</v>
      </c>
      <c r="F41" s="48">
        <f t="shared" si="1"/>
        <v>0.20730593607305936</v>
      </c>
    </row>
    <row r="42" spans="1:6" x14ac:dyDescent="0.25">
      <c r="A42" s="51">
        <v>45332.999305555553</v>
      </c>
      <c r="B42" s="3">
        <v>671</v>
      </c>
      <c r="C42" s="3">
        <v>150</v>
      </c>
      <c r="D42" s="3">
        <v>146</v>
      </c>
      <c r="E42" s="52">
        <f t="shared" si="0"/>
        <v>4.595890410958904</v>
      </c>
      <c r="F42" s="48">
        <f t="shared" si="1"/>
        <v>0.19149543378995434</v>
      </c>
    </row>
    <row r="43" spans="1:6" x14ac:dyDescent="0.25">
      <c r="A43" s="51">
        <v>45333.999305555553</v>
      </c>
      <c r="B43" s="3">
        <v>669.1</v>
      </c>
      <c r="C43" s="3">
        <v>150</v>
      </c>
      <c r="D43" s="3">
        <v>146</v>
      </c>
      <c r="E43" s="52">
        <f t="shared" si="0"/>
        <v>4.5828767123287673</v>
      </c>
      <c r="F43" s="48">
        <f t="shared" si="1"/>
        <v>0.19095319634703198</v>
      </c>
    </row>
    <row r="44" spans="1:6" x14ac:dyDescent="0.25">
      <c r="A44" s="51">
        <v>45334.999305555553</v>
      </c>
      <c r="B44" s="3">
        <v>779</v>
      </c>
      <c r="C44" s="3">
        <v>150</v>
      </c>
      <c r="D44" s="3">
        <v>146</v>
      </c>
      <c r="E44" s="52">
        <f t="shared" si="0"/>
        <v>5.3356164383561646</v>
      </c>
      <c r="F44" s="48">
        <f t="shared" si="1"/>
        <v>0.22231735159817351</v>
      </c>
    </row>
    <row r="45" spans="1:6" x14ac:dyDescent="0.25">
      <c r="A45" s="51">
        <v>45335.999305555553</v>
      </c>
      <c r="B45" s="3">
        <v>795.7</v>
      </c>
      <c r="C45" s="3">
        <v>150</v>
      </c>
      <c r="D45" s="3">
        <v>146</v>
      </c>
      <c r="E45" s="52">
        <f t="shared" si="0"/>
        <v>5.45</v>
      </c>
      <c r="F45" s="48">
        <f t="shared" si="1"/>
        <v>0.22708333333333336</v>
      </c>
    </row>
    <row r="46" spans="1:6" x14ac:dyDescent="0.25">
      <c r="A46" s="51">
        <v>45336.999305555553</v>
      </c>
      <c r="B46" s="3">
        <v>685.8</v>
      </c>
      <c r="C46" s="3">
        <v>150</v>
      </c>
      <c r="D46" s="3">
        <v>146</v>
      </c>
      <c r="E46" s="52">
        <f t="shared" si="0"/>
        <v>4.6972602739726028</v>
      </c>
      <c r="F46" s="48">
        <f t="shared" si="1"/>
        <v>0.19571917808219177</v>
      </c>
    </row>
    <row r="47" spans="1:6" x14ac:dyDescent="0.25">
      <c r="A47" s="51">
        <v>45337.999305555553</v>
      </c>
      <c r="B47" s="3">
        <v>446.9</v>
      </c>
      <c r="C47" s="3">
        <v>150</v>
      </c>
      <c r="D47" s="3">
        <v>146</v>
      </c>
      <c r="E47" s="52">
        <f t="shared" si="0"/>
        <v>3.0609589041095888</v>
      </c>
      <c r="F47" s="48">
        <f t="shared" si="1"/>
        <v>0.12753995433789952</v>
      </c>
    </row>
    <row r="48" spans="1:6" x14ac:dyDescent="0.25">
      <c r="A48" s="51">
        <v>45338.999305555553</v>
      </c>
      <c r="B48" s="3">
        <v>532.6</v>
      </c>
      <c r="C48" s="3">
        <v>150</v>
      </c>
      <c r="D48" s="3">
        <v>146</v>
      </c>
      <c r="E48" s="52">
        <f t="shared" si="0"/>
        <v>3.6479452054794521</v>
      </c>
      <c r="F48" s="48">
        <f t="shared" si="1"/>
        <v>0.15199771689497718</v>
      </c>
    </row>
    <row r="49" spans="1:6" x14ac:dyDescent="0.25">
      <c r="A49" s="51">
        <v>45339.999305555553</v>
      </c>
      <c r="B49" s="3">
        <v>565.20000000000005</v>
      </c>
      <c r="C49" s="3">
        <v>150</v>
      </c>
      <c r="D49" s="3">
        <v>146</v>
      </c>
      <c r="E49" s="52">
        <f t="shared" si="0"/>
        <v>3.871232876712329</v>
      </c>
      <c r="F49" s="48">
        <f t="shared" si="1"/>
        <v>0.16130136986301372</v>
      </c>
    </row>
    <row r="50" spans="1:6" x14ac:dyDescent="0.25">
      <c r="A50" s="51">
        <v>45340.999305555553</v>
      </c>
      <c r="B50" s="3">
        <v>592.79999999999995</v>
      </c>
      <c r="C50" s="3">
        <v>150</v>
      </c>
      <c r="D50" s="3">
        <v>146</v>
      </c>
      <c r="E50" s="52">
        <f t="shared" si="0"/>
        <v>4.0602739726027393</v>
      </c>
      <c r="F50" s="48">
        <f t="shared" si="1"/>
        <v>0.16917808219178082</v>
      </c>
    </row>
    <row r="51" spans="1:6" x14ac:dyDescent="0.25">
      <c r="A51" s="51">
        <v>45341.999305555553</v>
      </c>
      <c r="B51" s="3">
        <v>433.8</v>
      </c>
      <c r="C51" s="3">
        <v>150</v>
      </c>
      <c r="D51" s="3">
        <v>146</v>
      </c>
      <c r="E51" s="52">
        <f t="shared" si="0"/>
        <v>2.9712328767123291</v>
      </c>
      <c r="F51" s="48">
        <f t="shared" si="1"/>
        <v>0.1238013698630137</v>
      </c>
    </row>
    <row r="52" spans="1:6" x14ac:dyDescent="0.25">
      <c r="A52" s="51">
        <v>45342.999305555553</v>
      </c>
      <c r="B52" s="3">
        <v>210.7</v>
      </c>
      <c r="C52" s="3">
        <v>150</v>
      </c>
      <c r="D52" s="3">
        <v>146</v>
      </c>
      <c r="E52" s="52">
        <f t="shared" si="0"/>
        <v>1.4431506849315068</v>
      </c>
      <c r="F52" s="48">
        <f t="shared" si="1"/>
        <v>6.0131278538812782E-2</v>
      </c>
    </row>
    <row r="53" spans="1:6" x14ac:dyDescent="0.25">
      <c r="A53" s="51">
        <v>45343.999305555553</v>
      </c>
      <c r="B53" s="3">
        <v>294.10000000000002</v>
      </c>
      <c r="C53" s="3">
        <v>150</v>
      </c>
      <c r="D53" s="3">
        <v>146</v>
      </c>
      <c r="E53" s="52">
        <f t="shared" si="0"/>
        <v>2.0143835616438359</v>
      </c>
      <c r="F53" s="48">
        <f>B53/(24*D53)</f>
        <v>8.3932648401826487E-2</v>
      </c>
    </row>
    <row r="54" spans="1:6" x14ac:dyDescent="0.25">
      <c r="A54" s="51">
        <v>45344.999305555553</v>
      </c>
      <c r="B54" s="3">
        <v>298.39999999999998</v>
      </c>
      <c r="C54" s="3">
        <v>150</v>
      </c>
      <c r="D54" s="3">
        <v>146</v>
      </c>
      <c r="E54" s="52">
        <f t="shared" si="0"/>
        <v>2.043835616438356</v>
      </c>
      <c r="F54" s="48">
        <f t="shared" si="1"/>
        <v>8.5159817351598166E-2</v>
      </c>
    </row>
    <row r="55" spans="1:6" x14ac:dyDescent="0.25">
      <c r="A55" s="51">
        <v>45345.999305555553</v>
      </c>
      <c r="B55" s="3">
        <v>365.8</v>
      </c>
      <c r="C55" s="3">
        <v>150</v>
      </c>
      <c r="D55" s="3">
        <v>146</v>
      </c>
      <c r="E55" s="52">
        <f t="shared" si="0"/>
        <v>2.5054794520547947</v>
      </c>
      <c r="F55" s="48">
        <f t="shared" si="1"/>
        <v>0.10439497716894977</v>
      </c>
    </row>
    <row r="56" spans="1:6" x14ac:dyDescent="0.25">
      <c r="A56" s="51">
        <v>45346.999305555553</v>
      </c>
      <c r="B56" s="3">
        <v>715.5</v>
      </c>
      <c r="C56" s="3">
        <v>150</v>
      </c>
      <c r="D56" s="3">
        <v>146</v>
      </c>
      <c r="E56" s="52">
        <f t="shared" si="0"/>
        <v>4.9006849315068495</v>
      </c>
      <c r="F56" s="48">
        <f t="shared" si="1"/>
        <v>0.20419520547945205</v>
      </c>
    </row>
    <row r="57" spans="1:6" x14ac:dyDescent="0.25">
      <c r="A57" s="51">
        <v>45347.999305555553</v>
      </c>
      <c r="B57" s="3">
        <v>643.70000000000005</v>
      </c>
      <c r="C57" s="3">
        <v>150</v>
      </c>
      <c r="D57" s="3">
        <v>146</v>
      </c>
      <c r="E57" s="52">
        <f t="shared" si="0"/>
        <v>4.4089041095890416</v>
      </c>
      <c r="F57" s="48">
        <f t="shared" si="1"/>
        <v>0.18370433789954338</v>
      </c>
    </row>
    <row r="58" spans="1:6" x14ac:dyDescent="0.25">
      <c r="A58" s="51">
        <v>45348.999305555553</v>
      </c>
      <c r="B58" s="3">
        <v>775.9</v>
      </c>
      <c r="C58" s="3">
        <v>150</v>
      </c>
      <c r="D58" s="3">
        <v>146</v>
      </c>
      <c r="E58" s="52">
        <f t="shared" si="0"/>
        <v>5.3143835616438357</v>
      </c>
      <c r="F58" s="48">
        <f t="shared" si="1"/>
        <v>0.22143264840182647</v>
      </c>
    </row>
    <row r="59" spans="1:6" x14ac:dyDescent="0.25">
      <c r="A59" s="51">
        <v>45349.999305555553</v>
      </c>
      <c r="B59" s="3">
        <v>796.6</v>
      </c>
      <c r="C59" s="3">
        <v>150</v>
      </c>
      <c r="D59" s="3">
        <v>146</v>
      </c>
      <c r="E59" s="52">
        <f t="shared" si="0"/>
        <v>5.456164383561644</v>
      </c>
      <c r="F59" s="48">
        <f t="shared" si="1"/>
        <v>0.22734018264840183</v>
      </c>
    </row>
    <row r="60" spans="1:6" x14ac:dyDescent="0.25">
      <c r="A60" s="51">
        <v>45350.999305555553</v>
      </c>
      <c r="B60" s="3">
        <v>719</v>
      </c>
      <c r="C60" s="3">
        <v>150</v>
      </c>
      <c r="D60" s="3">
        <v>146</v>
      </c>
      <c r="E60" s="52">
        <f t="shared" si="0"/>
        <v>4.9246575342465757</v>
      </c>
      <c r="F60" s="48">
        <f t="shared" si="1"/>
        <v>0.20519406392694065</v>
      </c>
    </row>
    <row r="61" spans="1:6" x14ac:dyDescent="0.25">
      <c r="A61" s="51">
        <v>45351.999305555553</v>
      </c>
      <c r="B61" s="3">
        <v>518.1</v>
      </c>
      <c r="C61" s="3">
        <v>150</v>
      </c>
      <c r="D61" s="3">
        <v>146</v>
      </c>
      <c r="E61" s="52">
        <f t="shared" si="0"/>
        <v>3.5486301369863016</v>
      </c>
      <c r="F61" s="48">
        <f t="shared" si="1"/>
        <v>0.14785958904109589</v>
      </c>
    </row>
    <row r="62" spans="1:6" x14ac:dyDescent="0.25">
      <c r="A62" s="51">
        <v>45352.999305555553</v>
      </c>
      <c r="B62" s="3">
        <v>599.1</v>
      </c>
      <c r="C62" s="3">
        <v>150</v>
      </c>
      <c r="D62" s="3">
        <v>146</v>
      </c>
      <c r="E62" s="52">
        <f t="shared" si="0"/>
        <v>4.103424657534247</v>
      </c>
      <c r="F62" s="48">
        <f t="shared" si="1"/>
        <v>0.17097602739726028</v>
      </c>
    </row>
    <row r="63" spans="1:6" x14ac:dyDescent="0.25">
      <c r="A63" s="51">
        <v>45353.999305555553</v>
      </c>
      <c r="B63" s="3">
        <v>677.1</v>
      </c>
      <c r="C63" s="3">
        <v>150</v>
      </c>
      <c r="D63" s="3">
        <v>146</v>
      </c>
      <c r="E63" s="52">
        <f t="shared" si="0"/>
        <v>4.6376712328767127</v>
      </c>
      <c r="F63" s="48">
        <f t="shared" si="1"/>
        <v>0.19323630136986303</v>
      </c>
    </row>
    <row r="64" spans="1:6" x14ac:dyDescent="0.25">
      <c r="A64" s="51">
        <v>45354.999305555553</v>
      </c>
      <c r="B64" s="3">
        <v>721.6</v>
      </c>
      <c r="C64" s="3">
        <v>150</v>
      </c>
      <c r="D64" s="3">
        <v>146</v>
      </c>
      <c r="E64" s="52">
        <f t="shared" si="0"/>
        <v>4.9424657534246581</v>
      </c>
      <c r="F64" s="48">
        <f t="shared" si="1"/>
        <v>0.20593607305936074</v>
      </c>
    </row>
    <row r="65" spans="1:6" x14ac:dyDescent="0.25">
      <c r="A65" s="51">
        <v>45355.999305555553</v>
      </c>
      <c r="B65" s="3">
        <v>653</v>
      </c>
      <c r="C65" s="3">
        <v>150</v>
      </c>
      <c r="D65" s="3">
        <v>146</v>
      </c>
      <c r="E65" s="52">
        <f t="shared" si="0"/>
        <v>4.4726027397260273</v>
      </c>
      <c r="F65" s="48">
        <f t="shared" si="1"/>
        <v>0.18635844748858446</v>
      </c>
    </row>
    <row r="66" spans="1:6" x14ac:dyDescent="0.25">
      <c r="A66" s="51">
        <v>45356.999305555553</v>
      </c>
      <c r="B66" s="3">
        <v>618</v>
      </c>
      <c r="C66" s="3">
        <v>150</v>
      </c>
      <c r="D66" s="3">
        <v>146</v>
      </c>
      <c r="E66" s="52">
        <f t="shared" si="0"/>
        <v>4.2328767123287667</v>
      </c>
      <c r="F66" s="48">
        <f t="shared" si="1"/>
        <v>0.17636986301369864</v>
      </c>
    </row>
    <row r="67" spans="1:6" x14ac:dyDescent="0.25">
      <c r="A67" s="51">
        <v>45357.999305555553</v>
      </c>
      <c r="B67" s="3">
        <v>555.9</v>
      </c>
      <c r="C67" s="3">
        <v>150</v>
      </c>
      <c r="D67" s="3">
        <v>146</v>
      </c>
      <c r="E67" s="52">
        <f t="shared" ref="E67:E130" si="3">B67/D67</f>
        <v>3.8075342465753423</v>
      </c>
      <c r="F67" s="48">
        <f t="shared" ref="F67:F130" si="4">B67/(24*D67)</f>
        <v>0.15864726027397261</v>
      </c>
    </row>
    <row r="68" spans="1:6" x14ac:dyDescent="0.25">
      <c r="A68" s="51">
        <v>45358.999305555553</v>
      </c>
      <c r="B68" s="3">
        <v>565.1</v>
      </c>
      <c r="C68" s="3">
        <v>150</v>
      </c>
      <c r="D68" s="3">
        <v>146</v>
      </c>
      <c r="E68" s="52">
        <f t="shared" si="3"/>
        <v>3.8705479452054794</v>
      </c>
      <c r="F68" s="48">
        <f t="shared" si="4"/>
        <v>0.16127283105022833</v>
      </c>
    </row>
    <row r="69" spans="1:6" x14ac:dyDescent="0.25">
      <c r="A69" s="51">
        <v>45359.999305555553</v>
      </c>
      <c r="B69" s="3">
        <v>617.70000000000005</v>
      </c>
      <c r="C69" s="3">
        <v>150</v>
      </c>
      <c r="D69" s="3">
        <v>146</v>
      </c>
      <c r="E69" s="52">
        <f t="shared" si="3"/>
        <v>4.2308219178082194</v>
      </c>
      <c r="F69" s="48">
        <f t="shared" si="4"/>
        <v>0.17628424657534247</v>
      </c>
    </row>
    <row r="70" spans="1:6" x14ac:dyDescent="0.25">
      <c r="A70" s="51">
        <v>45360.999305555553</v>
      </c>
      <c r="B70" s="3">
        <v>565.5</v>
      </c>
      <c r="C70" s="3">
        <v>150</v>
      </c>
      <c r="D70" s="3">
        <v>146</v>
      </c>
      <c r="E70" s="52">
        <f t="shared" si="3"/>
        <v>3.8732876712328768</v>
      </c>
      <c r="F70" s="48">
        <f t="shared" si="4"/>
        <v>0.16138698630136986</v>
      </c>
    </row>
    <row r="71" spans="1:6" x14ac:dyDescent="0.25">
      <c r="A71" s="51">
        <v>45361.999305555553</v>
      </c>
      <c r="B71" s="3">
        <v>417.2</v>
      </c>
      <c r="C71" s="3">
        <v>150</v>
      </c>
      <c r="D71" s="3">
        <v>146</v>
      </c>
      <c r="E71" s="52">
        <f t="shared" si="3"/>
        <v>2.8575342465753426</v>
      </c>
      <c r="F71" s="48">
        <f t="shared" si="4"/>
        <v>0.11906392694063926</v>
      </c>
    </row>
    <row r="72" spans="1:6" x14ac:dyDescent="0.25">
      <c r="A72" s="51">
        <v>45362.999305555553</v>
      </c>
      <c r="B72" s="3">
        <v>538.5</v>
      </c>
      <c r="C72" s="3">
        <v>150</v>
      </c>
      <c r="D72" s="3">
        <v>146</v>
      </c>
      <c r="E72" s="52">
        <f t="shared" si="3"/>
        <v>3.6883561643835616</v>
      </c>
      <c r="F72" s="48">
        <f t="shared" si="4"/>
        <v>0.15368150684931506</v>
      </c>
    </row>
    <row r="73" spans="1:6" x14ac:dyDescent="0.25">
      <c r="A73" s="51">
        <v>45363.999305555553</v>
      </c>
      <c r="B73" s="3">
        <v>610.6</v>
      </c>
      <c r="C73" s="3">
        <v>150</v>
      </c>
      <c r="D73" s="3">
        <v>146</v>
      </c>
      <c r="E73" s="52">
        <f t="shared" si="3"/>
        <v>4.1821917808219178</v>
      </c>
      <c r="F73" s="48">
        <f t="shared" si="4"/>
        <v>0.17425799086757993</v>
      </c>
    </row>
    <row r="74" spans="1:6" x14ac:dyDescent="0.25">
      <c r="A74" s="51">
        <v>45364.999305555553</v>
      </c>
      <c r="B74" s="3">
        <v>659.3</v>
      </c>
      <c r="C74" s="3">
        <v>150</v>
      </c>
      <c r="D74" s="3">
        <v>146</v>
      </c>
      <c r="E74" s="52">
        <f t="shared" si="3"/>
        <v>4.5157534246575342</v>
      </c>
      <c r="F74" s="48">
        <f t="shared" si="4"/>
        <v>0.18815639269406392</v>
      </c>
    </row>
    <row r="75" spans="1:6" x14ac:dyDescent="0.25">
      <c r="A75" s="51">
        <v>45365.999305555553</v>
      </c>
      <c r="B75" s="3">
        <v>728.6</v>
      </c>
      <c r="C75" s="3">
        <v>150</v>
      </c>
      <c r="D75" s="3">
        <v>146</v>
      </c>
      <c r="E75" s="52">
        <f t="shared" si="3"/>
        <v>4.9904109589041097</v>
      </c>
      <c r="F75" s="48">
        <f t="shared" si="4"/>
        <v>0.20793378995433789</v>
      </c>
    </row>
    <row r="76" spans="1:6" x14ac:dyDescent="0.25">
      <c r="A76" s="51">
        <v>45366.999305555553</v>
      </c>
      <c r="B76" s="3">
        <v>738.8</v>
      </c>
      <c r="C76" s="3">
        <v>150</v>
      </c>
      <c r="D76" s="3">
        <v>146</v>
      </c>
      <c r="E76" s="52">
        <f t="shared" si="3"/>
        <v>5.0602739726027393</v>
      </c>
      <c r="F76" s="48">
        <f t="shared" si="4"/>
        <v>0.21084474885844748</v>
      </c>
    </row>
    <row r="77" spans="1:6" x14ac:dyDescent="0.25">
      <c r="A77" s="51">
        <v>45367.999305555553</v>
      </c>
      <c r="B77" s="3">
        <v>664.8</v>
      </c>
      <c r="C77" s="3">
        <v>150</v>
      </c>
      <c r="D77" s="3">
        <v>146</v>
      </c>
      <c r="E77" s="52">
        <f t="shared" si="3"/>
        <v>4.5534246575342463</v>
      </c>
      <c r="F77" s="48">
        <f t="shared" si="4"/>
        <v>0.18972602739726027</v>
      </c>
    </row>
    <row r="78" spans="1:6" x14ac:dyDescent="0.25">
      <c r="A78" s="51">
        <v>45368.999305555553</v>
      </c>
      <c r="B78" s="3">
        <v>725</v>
      </c>
      <c r="C78" s="3">
        <v>150</v>
      </c>
      <c r="D78" s="3">
        <v>146</v>
      </c>
      <c r="E78" s="52">
        <f t="shared" si="3"/>
        <v>4.9657534246575343</v>
      </c>
      <c r="F78" s="48">
        <f t="shared" si="4"/>
        <v>0.20690639269406394</v>
      </c>
    </row>
    <row r="79" spans="1:6" x14ac:dyDescent="0.25">
      <c r="A79" s="51">
        <v>45369.999305555553</v>
      </c>
      <c r="B79" s="3">
        <v>575.1</v>
      </c>
      <c r="C79" s="3">
        <v>150</v>
      </c>
      <c r="D79" s="3">
        <v>146</v>
      </c>
      <c r="E79" s="52">
        <f t="shared" si="3"/>
        <v>3.9390410958904112</v>
      </c>
      <c r="F79" s="48">
        <f t="shared" si="4"/>
        <v>0.16412671232876713</v>
      </c>
    </row>
    <row r="80" spans="1:6" x14ac:dyDescent="0.25">
      <c r="A80" s="51">
        <v>45370.999305555553</v>
      </c>
      <c r="B80" s="3">
        <v>557.1</v>
      </c>
      <c r="C80" s="3">
        <v>150</v>
      </c>
      <c r="D80" s="3">
        <v>146</v>
      </c>
      <c r="E80" s="52">
        <f t="shared" si="3"/>
        <v>3.8157534246575344</v>
      </c>
      <c r="F80" s="48">
        <f t="shared" si="4"/>
        <v>0.15898972602739728</v>
      </c>
    </row>
    <row r="81" spans="1:6" x14ac:dyDescent="0.25">
      <c r="A81" s="51">
        <v>45371.999305555553</v>
      </c>
      <c r="B81" s="3">
        <v>442.7</v>
      </c>
      <c r="C81" s="3">
        <v>150</v>
      </c>
      <c r="D81" s="3">
        <v>146</v>
      </c>
      <c r="E81" s="52">
        <f t="shared" si="3"/>
        <v>3.0321917808219179</v>
      </c>
      <c r="F81" s="48">
        <f t="shared" si="4"/>
        <v>0.12634132420091324</v>
      </c>
    </row>
    <row r="82" spans="1:6" x14ac:dyDescent="0.25">
      <c r="A82" s="51">
        <v>45372.999305555553</v>
      </c>
      <c r="B82" s="3">
        <v>649</v>
      </c>
      <c r="C82" s="3">
        <v>150</v>
      </c>
      <c r="D82" s="3">
        <v>146</v>
      </c>
      <c r="E82" s="52">
        <f t="shared" si="3"/>
        <v>4.4452054794520546</v>
      </c>
      <c r="F82" s="48">
        <f t="shared" si="4"/>
        <v>0.18521689497716895</v>
      </c>
    </row>
    <row r="83" spans="1:6" x14ac:dyDescent="0.25">
      <c r="A83" s="51">
        <v>45373.999305555553</v>
      </c>
      <c r="B83" s="3">
        <v>545.6</v>
      </c>
      <c r="C83" s="3">
        <v>150</v>
      </c>
      <c r="D83" s="3">
        <v>146</v>
      </c>
      <c r="E83" s="52">
        <f t="shared" si="3"/>
        <v>3.7369863013698632</v>
      </c>
      <c r="F83" s="48">
        <f t="shared" si="4"/>
        <v>0.15570776255707763</v>
      </c>
    </row>
    <row r="84" spans="1:6" x14ac:dyDescent="0.25">
      <c r="A84" s="51">
        <v>45374.999305555553</v>
      </c>
      <c r="B84" s="3">
        <v>294.89999999999998</v>
      </c>
      <c r="C84" s="3">
        <v>150</v>
      </c>
      <c r="D84" s="3">
        <v>146</v>
      </c>
      <c r="E84" s="52">
        <f t="shared" si="3"/>
        <v>2.0198630136986302</v>
      </c>
      <c r="F84" s="48">
        <f t="shared" si="4"/>
        <v>8.4160958904109587E-2</v>
      </c>
    </row>
    <row r="85" spans="1:6" x14ac:dyDescent="0.25">
      <c r="A85" s="51">
        <v>45375.999305555553</v>
      </c>
      <c r="B85" s="3">
        <v>659.8</v>
      </c>
      <c r="C85" s="3">
        <v>150</v>
      </c>
      <c r="D85" s="3">
        <v>146</v>
      </c>
      <c r="E85" s="52">
        <f t="shared" si="3"/>
        <v>4.5191780821917806</v>
      </c>
      <c r="F85" s="48">
        <f t="shared" si="4"/>
        <v>0.18829908675799084</v>
      </c>
    </row>
    <row r="86" spans="1:6" x14ac:dyDescent="0.25">
      <c r="A86" s="51">
        <v>45376.999305555553</v>
      </c>
      <c r="B86" s="3">
        <v>411.4</v>
      </c>
      <c r="C86" s="3">
        <v>150</v>
      </c>
      <c r="D86" s="3">
        <v>146</v>
      </c>
      <c r="E86" s="52">
        <f t="shared" si="3"/>
        <v>2.8178082191780822</v>
      </c>
      <c r="F86" s="48">
        <f t="shared" si="4"/>
        <v>0.11740867579908675</v>
      </c>
    </row>
    <row r="87" spans="1:6" x14ac:dyDescent="0.25">
      <c r="A87" s="51">
        <v>45377.999305555553</v>
      </c>
      <c r="B87" s="3">
        <v>331.8</v>
      </c>
      <c r="C87" s="3">
        <v>150</v>
      </c>
      <c r="D87" s="3">
        <v>146</v>
      </c>
      <c r="E87" s="52">
        <f t="shared" si="3"/>
        <v>2.2726027397260276</v>
      </c>
      <c r="F87" s="48">
        <f t="shared" si="4"/>
        <v>9.4691780821917815E-2</v>
      </c>
    </row>
    <row r="88" spans="1:6" x14ac:dyDescent="0.25">
      <c r="A88" s="51">
        <v>45378.999305555553</v>
      </c>
      <c r="B88" s="3">
        <v>497.4</v>
      </c>
      <c r="C88" s="3">
        <v>150</v>
      </c>
      <c r="D88" s="3">
        <v>146</v>
      </c>
      <c r="E88" s="52">
        <f t="shared" si="3"/>
        <v>3.4068493150684929</v>
      </c>
      <c r="F88" s="48">
        <f t="shared" si="4"/>
        <v>0.14195205479452055</v>
      </c>
    </row>
    <row r="89" spans="1:6" x14ac:dyDescent="0.25">
      <c r="A89" s="51">
        <v>45379.999305555553</v>
      </c>
      <c r="B89" s="3">
        <v>320.89999999999998</v>
      </c>
      <c r="C89" s="3">
        <v>150</v>
      </c>
      <c r="D89" s="3">
        <v>146</v>
      </c>
      <c r="E89" s="52">
        <f t="shared" si="3"/>
        <v>2.1979452054794519</v>
      </c>
      <c r="F89" s="48">
        <f t="shared" si="4"/>
        <v>9.1581050228310493E-2</v>
      </c>
    </row>
    <row r="90" spans="1:6" x14ac:dyDescent="0.25">
      <c r="A90" s="51">
        <v>45380.999305555553</v>
      </c>
      <c r="B90" s="3">
        <v>667.5</v>
      </c>
      <c r="C90" s="3">
        <v>150</v>
      </c>
      <c r="D90" s="3">
        <v>146</v>
      </c>
      <c r="E90" s="52">
        <f t="shared" si="3"/>
        <v>4.5719178082191778</v>
      </c>
      <c r="F90" s="48">
        <f t="shared" si="4"/>
        <v>0.19049657534246575</v>
      </c>
    </row>
    <row r="91" spans="1:6" x14ac:dyDescent="0.25">
      <c r="A91" s="51">
        <v>45381.999305555553</v>
      </c>
      <c r="B91" s="3">
        <v>572.6</v>
      </c>
      <c r="C91" s="3">
        <v>150</v>
      </c>
      <c r="D91" s="3">
        <v>146</v>
      </c>
      <c r="E91" s="52">
        <f t="shared" si="3"/>
        <v>3.9219178082191783</v>
      </c>
      <c r="F91" s="48">
        <f t="shared" si="4"/>
        <v>0.16341324200913243</v>
      </c>
    </row>
    <row r="92" spans="1:6" x14ac:dyDescent="0.25">
      <c r="A92" s="51">
        <v>45382.999305555553</v>
      </c>
      <c r="B92" s="3">
        <v>625.9</v>
      </c>
      <c r="C92" s="3">
        <v>150</v>
      </c>
      <c r="D92" s="3">
        <v>146</v>
      </c>
      <c r="E92" s="52">
        <f t="shared" si="3"/>
        <v>4.286986301369863</v>
      </c>
      <c r="F92" s="48">
        <f t="shared" si="4"/>
        <v>0.17862442922374427</v>
      </c>
    </row>
    <row r="93" spans="1:6" x14ac:dyDescent="0.25">
      <c r="A93" s="51">
        <v>45383.999305555553</v>
      </c>
      <c r="B93" s="3">
        <v>635.20000000000005</v>
      </c>
      <c r="C93" s="3">
        <v>150</v>
      </c>
      <c r="D93" s="3">
        <v>146</v>
      </c>
      <c r="E93" s="52">
        <f t="shared" si="3"/>
        <v>4.3506849315068497</v>
      </c>
      <c r="F93" s="48">
        <f t="shared" si="4"/>
        <v>0.18127853881278541</v>
      </c>
    </row>
    <row r="94" spans="1:6" x14ac:dyDescent="0.25">
      <c r="A94" s="51">
        <v>45384.999305555553</v>
      </c>
      <c r="B94" s="3">
        <v>575.5</v>
      </c>
      <c r="C94" s="3">
        <v>150</v>
      </c>
      <c r="D94" s="3">
        <v>146</v>
      </c>
      <c r="E94" s="52">
        <f t="shared" si="3"/>
        <v>3.9417808219178081</v>
      </c>
      <c r="F94" s="48">
        <f t="shared" si="4"/>
        <v>0.16424086757990869</v>
      </c>
    </row>
    <row r="95" spans="1:6" x14ac:dyDescent="0.25">
      <c r="A95" s="51">
        <v>45385.999305555553</v>
      </c>
      <c r="B95" s="3">
        <v>586.29999999999995</v>
      </c>
      <c r="C95" s="3">
        <v>150</v>
      </c>
      <c r="D95" s="3">
        <v>146</v>
      </c>
      <c r="E95" s="52">
        <f t="shared" si="3"/>
        <v>4.0157534246575342</v>
      </c>
      <c r="F95" s="48">
        <f t="shared" si="4"/>
        <v>0.16732305936073058</v>
      </c>
    </row>
    <row r="96" spans="1:6" x14ac:dyDescent="0.25">
      <c r="A96" s="51">
        <v>45386.999305555553</v>
      </c>
      <c r="B96" s="3">
        <v>655.1</v>
      </c>
      <c r="C96" s="3">
        <v>150</v>
      </c>
      <c r="D96" s="3">
        <v>146</v>
      </c>
      <c r="E96" s="52">
        <f t="shared" si="3"/>
        <v>4.4869863013698632</v>
      </c>
      <c r="F96" s="48">
        <f t="shared" si="4"/>
        <v>0.18695776255707763</v>
      </c>
    </row>
    <row r="97" spans="1:6" x14ac:dyDescent="0.25">
      <c r="A97" s="51">
        <v>45387.999305555553</v>
      </c>
      <c r="B97" s="3">
        <v>578.1</v>
      </c>
      <c r="C97" s="3">
        <v>150</v>
      </c>
      <c r="D97" s="3">
        <v>146</v>
      </c>
      <c r="E97" s="52">
        <f t="shared" si="3"/>
        <v>3.9595890410958905</v>
      </c>
      <c r="F97" s="48">
        <f t="shared" si="4"/>
        <v>0.16498287671232878</v>
      </c>
    </row>
    <row r="98" spans="1:6" x14ac:dyDescent="0.25">
      <c r="A98" s="51">
        <v>45388.999305555553</v>
      </c>
      <c r="B98" s="3">
        <v>631.20000000000005</v>
      </c>
      <c r="C98" s="3">
        <v>150</v>
      </c>
      <c r="D98" s="3">
        <v>146</v>
      </c>
      <c r="E98" s="52">
        <f t="shared" si="3"/>
        <v>4.3232876712328769</v>
      </c>
      <c r="F98" s="48">
        <f t="shared" si="4"/>
        <v>0.18013698630136987</v>
      </c>
    </row>
    <row r="99" spans="1:6" x14ac:dyDescent="0.25">
      <c r="A99" s="51">
        <v>45389.999305555553</v>
      </c>
      <c r="B99" s="3">
        <v>456.7</v>
      </c>
      <c r="C99" s="3">
        <v>150</v>
      </c>
      <c r="D99" s="3">
        <v>146</v>
      </c>
      <c r="E99" s="52">
        <f t="shared" si="3"/>
        <v>3.1280821917808219</v>
      </c>
      <c r="F99" s="48">
        <f t="shared" si="4"/>
        <v>0.13033675799086758</v>
      </c>
    </row>
    <row r="100" spans="1:6" x14ac:dyDescent="0.25">
      <c r="A100" s="51">
        <v>45390.999305555553</v>
      </c>
      <c r="B100" s="3">
        <v>669.3</v>
      </c>
      <c r="C100" s="3">
        <v>150</v>
      </c>
      <c r="D100" s="3">
        <v>146</v>
      </c>
      <c r="E100" s="52">
        <f t="shared" si="3"/>
        <v>4.5842465753424655</v>
      </c>
      <c r="F100" s="48">
        <f t="shared" si="4"/>
        <v>0.19101027397260273</v>
      </c>
    </row>
    <row r="101" spans="1:6" x14ac:dyDescent="0.25">
      <c r="A101" s="51">
        <v>45391.999305555553</v>
      </c>
      <c r="B101" s="3">
        <v>525</v>
      </c>
      <c r="C101" s="3">
        <v>150</v>
      </c>
      <c r="D101" s="3">
        <v>146</v>
      </c>
      <c r="E101" s="52">
        <f t="shared" si="3"/>
        <v>3.595890410958904</v>
      </c>
      <c r="F101" s="48">
        <f t="shared" si="4"/>
        <v>0.14982876712328766</v>
      </c>
    </row>
    <row r="102" spans="1:6" x14ac:dyDescent="0.25">
      <c r="A102" s="51">
        <v>45392.999305555553</v>
      </c>
      <c r="B102" s="3">
        <v>669.7</v>
      </c>
      <c r="C102" s="3">
        <v>150</v>
      </c>
      <c r="D102" s="3">
        <v>146</v>
      </c>
      <c r="E102" s="52">
        <f t="shared" si="3"/>
        <v>4.5869863013698637</v>
      </c>
      <c r="F102" s="48">
        <f t="shared" si="4"/>
        <v>0.19112442922374431</v>
      </c>
    </row>
    <row r="103" spans="1:6" x14ac:dyDescent="0.25">
      <c r="A103" s="51">
        <v>45393.999305555553</v>
      </c>
      <c r="B103" s="3">
        <v>641.20000000000005</v>
      </c>
      <c r="C103" s="3">
        <v>150</v>
      </c>
      <c r="D103" s="3">
        <v>146</v>
      </c>
      <c r="E103" s="52">
        <f t="shared" si="3"/>
        <v>4.3917808219178083</v>
      </c>
      <c r="F103" s="48">
        <f t="shared" si="4"/>
        <v>0.18299086757990868</v>
      </c>
    </row>
    <row r="104" spans="1:6" x14ac:dyDescent="0.25">
      <c r="A104" s="51">
        <v>45394.999305555553</v>
      </c>
      <c r="B104" s="3">
        <v>486.4</v>
      </c>
      <c r="C104" s="3">
        <v>150</v>
      </c>
      <c r="D104" s="3">
        <v>146</v>
      </c>
      <c r="E104" s="52">
        <f t="shared" si="3"/>
        <v>3.3315068493150681</v>
      </c>
      <c r="F104" s="48">
        <f t="shared" si="4"/>
        <v>0.13881278538812786</v>
      </c>
    </row>
    <row r="105" spans="1:6" x14ac:dyDescent="0.25">
      <c r="A105" s="51">
        <v>45395.999305555553</v>
      </c>
      <c r="B105" s="3">
        <v>358.1</v>
      </c>
      <c r="C105" s="3">
        <v>150</v>
      </c>
      <c r="D105" s="3">
        <v>146</v>
      </c>
      <c r="E105" s="52">
        <f t="shared" si="3"/>
        <v>2.4527397260273975</v>
      </c>
      <c r="F105" s="48">
        <f t="shared" si="4"/>
        <v>0.10219748858447489</v>
      </c>
    </row>
    <row r="106" spans="1:6" x14ac:dyDescent="0.25">
      <c r="A106" s="51">
        <v>45396.999305555553</v>
      </c>
      <c r="B106" s="3">
        <v>536.70000000000005</v>
      </c>
      <c r="C106" s="3">
        <v>150</v>
      </c>
      <c r="D106" s="3">
        <v>146</v>
      </c>
      <c r="E106" s="52">
        <f t="shared" si="3"/>
        <v>3.6760273972602744</v>
      </c>
      <c r="F106" s="48">
        <f t="shared" si="4"/>
        <v>0.15316780821917811</v>
      </c>
    </row>
    <row r="107" spans="1:6" x14ac:dyDescent="0.25">
      <c r="A107" s="51">
        <v>45397.999305555553</v>
      </c>
      <c r="B107" s="3">
        <v>611.4</v>
      </c>
      <c r="C107" s="3">
        <v>150</v>
      </c>
      <c r="D107" s="3">
        <v>146</v>
      </c>
      <c r="E107" s="52">
        <f t="shared" si="3"/>
        <v>4.1876712328767125</v>
      </c>
      <c r="F107" s="48">
        <f t="shared" si="4"/>
        <v>0.17448630136986301</v>
      </c>
    </row>
    <row r="108" spans="1:6" x14ac:dyDescent="0.25">
      <c r="A108" s="51">
        <v>45398.999305555553</v>
      </c>
      <c r="B108" s="3">
        <v>624.5</v>
      </c>
      <c r="C108" s="3">
        <v>150</v>
      </c>
      <c r="D108" s="3">
        <v>146</v>
      </c>
      <c r="E108" s="52">
        <f t="shared" si="3"/>
        <v>4.2773972602739727</v>
      </c>
      <c r="F108" s="48">
        <f t="shared" si="4"/>
        <v>0.17822488584474885</v>
      </c>
    </row>
    <row r="109" spans="1:6" x14ac:dyDescent="0.25">
      <c r="A109" s="51">
        <v>45399.999305555553</v>
      </c>
      <c r="B109" s="3">
        <v>636.20000000000005</v>
      </c>
      <c r="C109" s="3">
        <v>150</v>
      </c>
      <c r="D109" s="3">
        <v>146</v>
      </c>
      <c r="E109" s="52">
        <f t="shared" si="3"/>
        <v>4.3575342465753426</v>
      </c>
      <c r="F109" s="48">
        <f t="shared" si="4"/>
        <v>0.18156392694063928</v>
      </c>
    </row>
    <row r="110" spans="1:6" x14ac:dyDescent="0.25">
      <c r="A110" s="51">
        <v>45400.999305555553</v>
      </c>
      <c r="B110" s="3">
        <v>408.3</v>
      </c>
      <c r="C110" s="3">
        <v>150</v>
      </c>
      <c r="D110" s="3">
        <v>146</v>
      </c>
      <c r="E110" s="52">
        <f t="shared" si="3"/>
        <v>2.7965753424657533</v>
      </c>
      <c r="F110" s="48">
        <f t="shared" si="4"/>
        <v>0.11652397260273972</v>
      </c>
    </row>
    <row r="111" spans="1:6" x14ac:dyDescent="0.25">
      <c r="A111" s="51">
        <v>45401.999305555553</v>
      </c>
      <c r="B111" s="3">
        <v>479.5</v>
      </c>
      <c r="C111" s="3">
        <v>150</v>
      </c>
      <c r="D111" s="3">
        <v>146</v>
      </c>
      <c r="E111" s="52">
        <f t="shared" si="3"/>
        <v>3.2842465753424657</v>
      </c>
      <c r="F111" s="48">
        <f t="shared" si="4"/>
        <v>0.13684360730593606</v>
      </c>
    </row>
    <row r="112" spans="1:6" x14ac:dyDescent="0.25">
      <c r="A112" s="51">
        <v>45402.999305555553</v>
      </c>
      <c r="B112" s="3">
        <v>586</v>
      </c>
      <c r="C112" s="3">
        <v>150</v>
      </c>
      <c r="D112" s="3">
        <v>146</v>
      </c>
      <c r="E112" s="52">
        <f t="shared" si="3"/>
        <v>4.0136986301369859</v>
      </c>
      <c r="F112" s="48">
        <f t="shared" si="4"/>
        <v>0.16723744292237444</v>
      </c>
    </row>
    <row r="113" spans="1:6" x14ac:dyDescent="0.25">
      <c r="A113" s="51">
        <v>45403.999305555553</v>
      </c>
      <c r="B113" s="3">
        <v>663.9</v>
      </c>
      <c r="C113" s="3">
        <v>150</v>
      </c>
      <c r="D113" s="3">
        <v>146</v>
      </c>
      <c r="E113" s="52">
        <f t="shared" si="3"/>
        <v>4.5472602739726025</v>
      </c>
      <c r="F113" s="48">
        <f t="shared" si="4"/>
        <v>0.18946917808219177</v>
      </c>
    </row>
    <row r="114" spans="1:6" x14ac:dyDescent="0.25">
      <c r="A114" s="51">
        <v>45404.999305555553</v>
      </c>
      <c r="B114" s="3">
        <v>614.79999999999995</v>
      </c>
      <c r="C114" s="3">
        <v>150</v>
      </c>
      <c r="D114" s="3">
        <v>146</v>
      </c>
      <c r="E114" s="52">
        <f t="shared" si="3"/>
        <v>4.2109589041095887</v>
      </c>
      <c r="F114" s="48">
        <f t="shared" si="4"/>
        <v>0.17545662100456619</v>
      </c>
    </row>
    <row r="115" spans="1:6" x14ac:dyDescent="0.25">
      <c r="A115" s="51">
        <v>45405.999305555553</v>
      </c>
      <c r="B115" s="3">
        <v>536.70000000000005</v>
      </c>
      <c r="C115" s="3">
        <v>150</v>
      </c>
      <c r="D115" s="3">
        <v>146</v>
      </c>
      <c r="E115" s="52">
        <f t="shared" si="3"/>
        <v>3.6760273972602744</v>
      </c>
      <c r="F115" s="48">
        <f t="shared" si="4"/>
        <v>0.15316780821917811</v>
      </c>
    </row>
    <row r="116" spans="1:6" x14ac:dyDescent="0.25">
      <c r="A116" s="51">
        <v>45406.999305555553</v>
      </c>
      <c r="B116" s="3">
        <v>622.20000000000005</v>
      </c>
      <c r="C116" s="3">
        <v>150</v>
      </c>
      <c r="D116" s="3">
        <v>146</v>
      </c>
      <c r="E116" s="52">
        <f t="shared" si="3"/>
        <v>4.2616438356164386</v>
      </c>
      <c r="F116" s="48">
        <f t="shared" si="4"/>
        <v>0.17756849315068493</v>
      </c>
    </row>
    <row r="117" spans="1:6" x14ac:dyDescent="0.25">
      <c r="A117" s="51">
        <v>45407.999305555553</v>
      </c>
      <c r="B117" s="3">
        <v>504.1</v>
      </c>
      <c r="C117" s="3">
        <v>150</v>
      </c>
      <c r="D117" s="3">
        <v>146</v>
      </c>
      <c r="E117" s="52">
        <f t="shared" si="3"/>
        <v>3.4527397260273975</v>
      </c>
      <c r="F117" s="48">
        <f t="shared" si="4"/>
        <v>0.14386415525114155</v>
      </c>
    </row>
    <row r="118" spans="1:6" x14ac:dyDescent="0.25">
      <c r="A118" s="51">
        <v>45408.999305555553</v>
      </c>
      <c r="B118" s="3">
        <v>600.4</v>
      </c>
      <c r="C118" s="3">
        <v>150</v>
      </c>
      <c r="D118" s="3">
        <v>146</v>
      </c>
      <c r="E118" s="52">
        <f t="shared" si="3"/>
        <v>4.1123287671232873</v>
      </c>
      <c r="F118" s="48">
        <f t="shared" si="4"/>
        <v>0.17134703196347031</v>
      </c>
    </row>
    <row r="119" spans="1:6" x14ac:dyDescent="0.25">
      <c r="A119" s="51">
        <v>45409.999305555553</v>
      </c>
      <c r="B119" s="3">
        <v>465.3</v>
      </c>
      <c r="C119" s="3">
        <v>150</v>
      </c>
      <c r="D119" s="3">
        <v>146</v>
      </c>
      <c r="E119" s="52">
        <f t="shared" si="3"/>
        <v>3.1869863013698629</v>
      </c>
      <c r="F119" s="48">
        <f t="shared" si="4"/>
        <v>0.13279109589041097</v>
      </c>
    </row>
    <row r="120" spans="1:6" x14ac:dyDescent="0.25">
      <c r="A120" s="51">
        <v>45410.999305555553</v>
      </c>
      <c r="B120" s="3">
        <v>595</v>
      </c>
      <c r="C120" s="3">
        <v>150</v>
      </c>
      <c r="D120" s="3">
        <v>146</v>
      </c>
      <c r="E120" s="52">
        <f t="shared" si="3"/>
        <v>4.0753424657534243</v>
      </c>
      <c r="F120" s="48">
        <f t="shared" si="4"/>
        <v>0.16980593607305935</v>
      </c>
    </row>
    <row r="121" spans="1:6" x14ac:dyDescent="0.25">
      <c r="A121" s="51">
        <v>45411.999305555553</v>
      </c>
      <c r="B121" s="3">
        <v>593.1</v>
      </c>
      <c r="C121" s="3">
        <v>150</v>
      </c>
      <c r="D121" s="3">
        <v>146</v>
      </c>
      <c r="E121" s="52">
        <f t="shared" si="3"/>
        <v>4.0623287671232875</v>
      </c>
      <c r="F121" s="48">
        <f t="shared" si="4"/>
        <v>0.16926369863013699</v>
      </c>
    </row>
    <row r="122" spans="1:6" x14ac:dyDescent="0.25">
      <c r="A122" s="51">
        <v>45412.999305555553</v>
      </c>
      <c r="B122" s="3">
        <v>564.6</v>
      </c>
      <c r="C122" s="3">
        <v>150</v>
      </c>
      <c r="D122" s="3">
        <v>146</v>
      </c>
      <c r="E122" s="52">
        <f t="shared" si="3"/>
        <v>3.8671232876712329</v>
      </c>
      <c r="F122" s="48">
        <f t="shared" si="4"/>
        <v>0.16113013698630138</v>
      </c>
    </row>
    <row r="123" spans="1:6" x14ac:dyDescent="0.25">
      <c r="A123" s="51">
        <v>45413.999305555553</v>
      </c>
      <c r="B123" s="3">
        <v>604.29999999999995</v>
      </c>
      <c r="C123" s="3">
        <v>150</v>
      </c>
      <c r="D123" s="3">
        <v>146</v>
      </c>
      <c r="E123" s="52">
        <f t="shared" si="3"/>
        <v>4.1390410958904109</v>
      </c>
      <c r="F123" s="48">
        <f t="shared" si="4"/>
        <v>0.17246004566210044</v>
      </c>
    </row>
    <row r="124" spans="1:6" x14ac:dyDescent="0.25">
      <c r="A124" s="51">
        <v>45414.999305555553</v>
      </c>
      <c r="B124" s="3">
        <v>594.4</v>
      </c>
      <c r="C124" s="3">
        <v>150</v>
      </c>
      <c r="D124" s="3">
        <v>146</v>
      </c>
      <c r="E124" s="52">
        <f t="shared" si="3"/>
        <v>4.0712328767123287</v>
      </c>
      <c r="F124" s="48">
        <f t="shared" si="4"/>
        <v>0.16963470319634702</v>
      </c>
    </row>
    <row r="125" spans="1:6" x14ac:dyDescent="0.25">
      <c r="A125" s="51">
        <v>45415.999305555553</v>
      </c>
      <c r="B125" s="3">
        <v>595.1</v>
      </c>
      <c r="C125" s="3">
        <v>150</v>
      </c>
      <c r="D125" s="3">
        <v>146</v>
      </c>
      <c r="E125" s="52">
        <f t="shared" si="3"/>
        <v>4.0760273972602743</v>
      </c>
      <c r="F125" s="48">
        <f t="shared" si="4"/>
        <v>0.16983447488584474</v>
      </c>
    </row>
    <row r="126" spans="1:6" x14ac:dyDescent="0.25">
      <c r="A126" s="51">
        <v>45416.999305555553</v>
      </c>
      <c r="B126" s="3">
        <v>603.1</v>
      </c>
      <c r="C126" s="3">
        <v>150</v>
      </c>
      <c r="D126" s="3">
        <v>146</v>
      </c>
      <c r="E126" s="52">
        <f t="shared" si="3"/>
        <v>4.1308219178082197</v>
      </c>
      <c r="F126" s="48">
        <f t="shared" si="4"/>
        <v>0.17211757990867579</v>
      </c>
    </row>
    <row r="127" spans="1:6" x14ac:dyDescent="0.25">
      <c r="A127" s="51">
        <v>45417.999305555553</v>
      </c>
      <c r="B127" s="3">
        <v>592.6</v>
      </c>
      <c r="C127" s="3">
        <v>150</v>
      </c>
      <c r="D127" s="3">
        <v>146</v>
      </c>
      <c r="E127" s="52">
        <f t="shared" si="3"/>
        <v>4.058904109589041</v>
      </c>
      <c r="F127" s="48">
        <f t="shared" si="4"/>
        <v>0.16912100456621004</v>
      </c>
    </row>
    <row r="128" spans="1:6" x14ac:dyDescent="0.25">
      <c r="A128" s="51">
        <v>45418.999305555553</v>
      </c>
      <c r="B128" s="3">
        <v>425.2</v>
      </c>
      <c r="C128" s="3">
        <v>150</v>
      </c>
      <c r="D128" s="3">
        <v>146</v>
      </c>
      <c r="E128" s="52">
        <f t="shared" si="3"/>
        <v>2.9123287671232876</v>
      </c>
      <c r="F128" s="48">
        <f t="shared" si="4"/>
        <v>0.12134703196347031</v>
      </c>
    </row>
    <row r="129" spans="1:6" x14ac:dyDescent="0.25">
      <c r="A129" s="51">
        <v>45419.999305555553</v>
      </c>
      <c r="B129" s="3">
        <v>595.6</v>
      </c>
      <c r="C129" s="3">
        <v>150</v>
      </c>
      <c r="D129" s="3">
        <v>146</v>
      </c>
      <c r="E129" s="52">
        <f t="shared" si="3"/>
        <v>4.0794520547945208</v>
      </c>
      <c r="F129" s="48">
        <f t="shared" si="4"/>
        <v>0.16997716894977169</v>
      </c>
    </row>
    <row r="130" spans="1:6" x14ac:dyDescent="0.25">
      <c r="A130" s="51">
        <v>45420.999305555553</v>
      </c>
      <c r="B130" s="3">
        <v>504.9</v>
      </c>
      <c r="C130" s="3">
        <v>150</v>
      </c>
      <c r="D130" s="3">
        <v>146</v>
      </c>
      <c r="E130" s="52">
        <f t="shared" si="3"/>
        <v>3.4582191780821918</v>
      </c>
      <c r="F130" s="48">
        <f t="shared" si="4"/>
        <v>0.14409246575342466</v>
      </c>
    </row>
    <row r="131" spans="1:6" x14ac:dyDescent="0.25">
      <c r="A131" s="51">
        <v>45421.999305555553</v>
      </c>
      <c r="B131" s="3">
        <v>580</v>
      </c>
      <c r="C131" s="3">
        <v>150</v>
      </c>
      <c r="D131" s="3">
        <v>146</v>
      </c>
      <c r="E131" s="52">
        <f t="shared" ref="E131:E194" si="5">B131/D131</f>
        <v>3.9726027397260273</v>
      </c>
      <c r="F131" s="48">
        <f t="shared" ref="F131:F194" si="6">B131/(24*D131)</f>
        <v>0.16552511415525115</v>
      </c>
    </row>
    <row r="132" spans="1:6" x14ac:dyDescent="0.25">
      <c r="A132" s="51">
        <v>45422.999305555553</v>
      </c>
      <c r="B132" s="3">
        <v>525.4</v>
      </c>
      <c r="C132" s="3">
        <v>150</v>
      </c>
      <c r="D132" s="3">
        <v>146</v>
      </c>
      <c r="E132" s="52">
        <f t="shared" si="5"/>
        <v>3.5986301369863014</v>
      </c>
      <c r="F132" s="48">
        <f t="shared" si="6"/>
        <v>0.14994292237442922</v>
      </c>
    </row>
    <row r="133" spans="1:6" x14ac:dyDescent="0.25">
      <c r="A133" s="51">
        <v>45423.999305555553</v>
      </c>
      <c r="B133" s="3">
        <v>547.6</v>
      </c>
      <c r="C133" s="3">
        <v>150</v>
      </c>
      <c r="D133" s="3">
        <v>146</v>
      </c>
      <c r="E133" s="52">
        <f t="shared" si="5"/>
        <v>3.7506849315068496</v>
      </c>
      <c r="F133" s="48">
        <f t="shared" si="6"/>
        <v>0.15627853881278539</v>
      </c>
    </row>
    <row r="134" spans="1:6" x14ac:dyDescent="0.25">
      <c r="A134" s="51">
        <v>45424.999305555553</v>
      </c>
      <c r="B134" s="3">
        <v>553.4</v>
      </c>
      <c r="C134" s="3">
        <v>150</v>
      </c>
      <c r="D134" s="3">
        <v>146</v>
      </c>
      <c r="E134" s="52">
        <f t="shared" si="5"/>
        <v>3.7904109589041095</v>
      </c>
      <c r="F134" s="48">
        <f t="shared" si="6"/>
        <v>0.15793378995433791</v>
      </c>
    </row>
    <row r="135" spans="1:6" x14ac:dyDescent="0.25">
      <c r="A135" s="51">
        <v>45425.999305555553</v>
      </c>
      <c r="B135" s="3">
        <v>553.79999999999995</v>
      </c>
      <c r="C135" s="3">
        <v>150</v>
      </c>
      <c r="D135" s="3">
        <v>146</v>
      </c>
      <c r="E135" s="52">
        <f t="shared" si="5"/>
        <v>3.7931506849315064</v>
      </c>
      <c r="F135" s="48">
        <f t="shared" si="6"/>
        <v>0.15804794520547943</v>
      </c>
    </row>
    <row r="136" spans="1:6" x14ac:dyDescent="0.25">
      <c r="A136" s="51">
        <v>45426.999305555553</v>
      </c>
      <c r="B136" s="3">
        <v>553.1</v>
      </c>
      <c r="C136" s="3">
        <v>150</v>
      </c>
      <c r="D136" s="3">
        <v>146</v>
      </c>
      <c r="E136" s="52">
        <f t="shared" si="5"/>
        <v>3.7883561643835617</v>
      </c>
      <c r="F136" s="48">
        <f t="shared" si="6"/>
        <v>0.15784817351598174</v>
      </c>
    </row>
    <row r="137" spans="1:6" x14ac:dyDescent="0.25">
      <c r="A137" s="51">
        <v>45427.999305555553</v>
      </c>
      <c r="B137" s="3">
        <v>534.20000000000005</v>
      </c>
      <c r="C137" s="3">
        <v>150</v>
      </c>
      <c r="D137" s="3">
        <v>146</v>
      </c>
      <c r="E137" s="52">
        <f t="shared" si="5"/>
        <v>3.6589041095890416</v>
      </c>
      <c r="F137" s="48">
        <f t="shared" si="6"/>
        <v>0.15245433789954338</v>
      </c>
    </row>
    <row r="138" spans="1:6" x14ac:dyDescent="0.25">
      <c r="A138" s="51">
        <v>45428.999305555553</v>
      </c>
      <c r="B138" s="3">
        <v>522.6</v>
      </c>
      <c r="C138" s="3">
        <v>150</v>
      </c>
      <c r="D138" s="3">
        <v>146</v>
      </c>
      <c r="E138" s="52">
        <f t="shared" si="5"/>
        <v>3.5794520547945208</v>
      </c>
      <c r="F138" s="48">
        <f t="shared" si="6"/>
        <v>0.14914383561643837</v>
      </c>
    </row>
    <row r="139" spans="1:6" x14ac:dyDescent="0.25">
      <c r="A139" s="51">
        <v>45429.999305555553</v>
      </c>
      <c r="B139" s="3">
        <v>474.9</v>
      </c>
      <c r="C139" s="3">
        <v>150</v>
      </c>
      <c r="D139" s="3">
        <v>146</v>
      </c>
      <c r="E139" s="52">
        <f t="shared" si="5"/>
        <v>3.2527397260273969</v>
      </c>
      <c r="F139" s="48">
        <f t="shared" si="6"/>
        <v>0.13553082191780821</v>
      </c>
    </row>
    <row r="140" spans="1:6" x14ac:dyDescent="0.25">
      <c r="A140" s="51">
        <v>45430.999305555553</v>
      </c>
      <c r="B140" s="3">
        <v>537.5</v>
      </c>
      <c r="C140" s="3">
        <v>150</v>
      </c>
      <c r="D140" s="3">
        <v>146</v>
      </c>
      <c r="E140" s="52">
        <f t="shared" si="5"/>
        <v>3.6815068493150687</v>
      </c>
      <c r="F140" s="48">
        <f t="shared" si="6"/>
        <v>0.15339611872146119</v>
      </c>
    </row>
    <row r="141" spans="1:6" x14ac:dyDescent="0.25">
      <c r="A141" s="51">
        <v>45431.999305555553</v>
      </c>
      <c r="B141" s="3">
        <v>471.6</v>
      </c>
      <c r="C141" s="3">
        <v>150</v>
      </c>
      <c r="D141" s="3">
        <v>146</v>
      </c>
      <c r="E141" s="52">
        <f t="shared" si="5"/>
        <v>3.2301369863013698</v>
      </c>
      <c r="F141" s="48">
        <f t="shared" si="6"/>
        <v>0.13458904109589043</v>
      </c>
    </row>
    <row r="142" spans="1:6" x14ac:dyDescent="0.25">
      <c r="A142" s="51">
        <v>45432.999305555553</v>
      </c>
      <c r="B142" s="3">
        <v>522.1</v>
      </c>
      <c r="C142" s="3">
        <v>150</v>
      </c>
      <c r="D142" s="3">
        <v>146</v>
      </c>
      <c r="E142" s="52">
        <f t="shared" si="5"/>
        <v>3.5760273972602743</v>
      </c>
      <c r="F142" s="48">
        <f t="shared" si="6"/>
        <v>0.14900114155251143</v>
      </c>
    </row>
    <row r="143" spans="1:6" x14ac:dyDescent="0.25">
      <c r="A143" s="51">
        <v>45433.999305555553</v>
      </c>
      <c r="B143" s="3">
        <v>509.5</v>
      </c>
      <c r="C143" s="3">
        <v>150</v>
      </c>
      <c r="D143" s="3">
        <v>146</v>
      </c>
      <c r="E143" s="52">
        <f t="shared" si="5"/>
        <v>3.4897260273972601</v>
      </c>
      <c r="F143" s="48">
        <f t="shared" si="6"/>
        <v>0.14540525114155251</v>
      </c>
    </row>
    <row r="144" spans="1:6" x14ac:dyDescent="0.25">
      <c r="A144" s="51">
        <v>45434.999305555553</v>
      </c>
      <c r="B144" s="3">
        <v>507.2</v>
      </c>
      <c r="C144" s="3">
        <v>150</v>
      </c>
      <c r="D144" s="3">
        <v>146</v>
      </c>
      <c r="E144" s="52">
        <f t="shared" si="5"/>
        <v>3.473972602739726</v>
      </c>
      <c r="F144" s="48">
        <f t="shared" si="6"/>
        <v>0.14474885844748858</v>
      </c>
    </row>
    <row r="145" spans="1:6" x14ac:dyDescent="0.25">
      <c r="A145" s="51">
        <v>45435.999305555553</v>
      </c>
      <c r="B145" s="3">
        <v>451.8</v>
      </c>
      <c r="C145" s="3">
        <v>150</v>
      </c>
      <c r="D145" s="3">
        <v>146</v>
      </c>
      <c r="E145" s="52">
        <f t="shared" si="5"/>
        <v>3.0945205479452054</v>
      </c>
      <c r="F145" s="48">
        <f t="shared" si="6"/>
        <v>0.12893835616438357</v>
      </c>
    </row>
    <row r="146" spans="1:6" x14ac:dyDescent="0.25">
      <c r="A146" s="51">
        <v>45436.999305555553</v>
      </c>
      <c r="B146" s="3">
        <v>492.4</v>
      </c>
      <c r="C146" s="3">
        <v>150</v>
      </c>
      <c r="D146" s="3">
        <v>146</v>
      </c>
      <c r="E146" s="52">
        <f t="shared" si="5"/>
        <v>3.3726027397260272</v>
      </c>
      <c r="F146" s="48">
        <f t="shared" si="6"/>
        <v>0.14052511415525112</v>
      </c>
    </row>
    <row r="147" spans="1:6" x14ac:dyDescent="0.25">
      <c r="A147" s="51">
        <v>45437.999305555553</v>
      </c>
      <c r="B147" s="3">
        <v>447.7</v>
      </c>
      <c r="C147" s="3">
        <v>150</v>
      </c>
      <c r="D147" s="3">
        <v>146</v>
      </c>
      <c r="E147" s="52">
        <f t="shared" si="5"/>
        <v>3.0664383561643835</v>
      </c>
      <c r="F147" s="48">
        <f t="shared" si="6"/>
        <v>0.12776826484018264</v>
      </c>
    </row>
    <row r="148" spans="1:6" x14ac:dyDescent="0.25">
      <c r="A148" s="51">
        <v>45438.999305555553</v>
      </c>
      <c r="B148" s="3">
        <v>401</v>
      </c>
      <c r="C148" s="3">
        <v>150</v>
      </c>
      <c r="D148" s="3">
        <v>146</v>
      </c>
      <c r="E148" s="52">
        <f t="shared" si="5"/>
        <v>2.7465753424657535</v>
      </c>
      <c r="F148" s="48">
        <f t="shared" si="6"/>
        <v>0.1144406392694064</v>
      </c>
    </row>
    <row r="149" spans="1:6" x14ac:dyDescent="0.25">
      <c r="A149" s="51">
        <v>45439.999305555553</v>
      </c>
      <c r="B149" s="3">
        <v>368.7</v>
      </c>
      <c r="C149" s="3">
        <v>150</v>
      </c>
      <c r="D149" s="3">
        <v>146</v>
      </c>
      <c r="E149" s="52">
        <f t="shared" si="5"/>
        <v>2.5253424657534245</v>
      </c>
      <c r="F149" s="48">
        <f t="shared" si="6"/>
        <v>0.10522260273972603</v>
      </c>
    </row>
    <row r="150" spans="1:6" x14ac:dyDescent="0.25">
      <c r="A150" s="51">
        <v>45440.999305555553</v>
      </c>
      <c r="B150" s="3">
        <v>453</v>
      </c>
      <c r="C150" s="3">
        <v>150</v>
      </c>
      <c r="D150" s="3">
        <v>146</v>
      </c>
      <c r="E150" s="52">
        <f t="shared" si="5"/>
        <v>3.1027397260273974</v>
      </c>
      <c r="F150" s="48">
        <f t="shared" si="6"/>
        <v>0.12928082191780821</v>
      </c>
    </row>
    <row r="151" spans="1:6" x14ac:dyDescent="0.25">
      <c r="A151" s="51">
        <v>45441.999305555553</v>
      </c>
      <c r="B151" s="3">
        <v>477.3</v>
      </c>
      <c r="C151" s="3">
        <v>150</v>
      </c>
      <c r="D151" s="3">
        <v>146</v>
      </c>
      <c r="E151" s="52">
        <f t="shared" si="5"/>
        <v>3.2691780821917811</v>
      </c>
      <c r="F151" s="48">
        <f t="shared" si="6"/>
        <v>0.13621575342465753</v>
      </c>
    </row>
    <row r="152" spans="1:6" x14ac:dyDescent="0.25">
      <c r="A152" s="51">
        <v>45442.999305555553</v>
      </c>
      <c r="B152" s="3">
        <v>487.5</v>
      </c>
      <c r="C152" s="3">
        <v>150</v>
      </c>
      <c r="D152" s="3">
        <v>146</v>
      </c>
      <c r="E152" s="52">
        <f t="shared" si="5"/>
        <v>3.3390410958904111</v>
      </c>
      <c r="F152" s="48">
        <f t="shared" si="6"/>
        <v>0.13912671232876711</v>
      </c>
    </row>
    <row r="153" spans="1:6" x14ac:dyDescent="0.25">
      <c r="A153" s="51">
        <v>45443.999305555553</v>
      </c>
      <c r="B153" s="3">
        <v>500.5</v>
      </c>
      <c r="C153" s="3">
        <v>150</v>
      </c>
      <c r="D153" s="3">
        <v>146</v>
      </c>
      <c r="E153" s="52">
        <f t="shared" si="5"/>
        <v>3.4280821917808217</v>
      </c>
      <c r="F153" s="48">
        <f t="shared" si="6"/>
        <v>0.14283675799086759</v>
      </c>
    </row>
    <row r="154" spans="1:6" x14ac:dyDescent="0.25">
      <c r="A154" s="51">
        <v>45444.999305555553</v>
      </c>
      <c r="B154" s="3">
        <v>508.8</v>
      </c>
      <c r="C154" s="3">
        <v>150</v>
      </c>
      <c r="D154" s="3">
        <v>146</v>
      </c>
      <c r="E154" s="52">
        <f t="shared" si="5"/>
        <v>3.484931506849315</v>
      </c>
      <c r="F154" s="48">
        <f t="shared" si="6"/>
        <v>0.14520547945205481</v>
      </c>
    </row>
    <row r="155" spans="1:6" x14ac:dyDescent="0.25">
      <c r="A155" s="51">
        <v>45445.999305555553</v>
      </c>
      <c r="B155" s="3">
        <v>492</v>
      </c>
      <c r="C155" s="3">
        <v>150</v>
      </c>
      <c r="D155" s="3">
        <v>146</v>
      </c>
      <c r="E155" s="52">
        <f t="shared" si="5"/>
        <v>3.3698630136986303</v>
      </c>
      <c r="F155" s="48">
        <f t="shared" si="6"/>
        <v>0.1404109589041096</v>
      </c>
    </row>
    <row r="156" spans="1:6" x14ac:dyDescent="0.25">
      <c r="A156" s="51">
        <v>45446.999305555553</v>
      </c>
      <c r="B156" s="3">
        <v>463.3</v>
      </c>
      <c r="C156" s="3">
        <v>150</v>
      </c>
      <c r="D156" s="3">
        <v>146</v>
      </c>
      <c r="E156" s="52">
        <f t="shared" si="5"/>
        <v>3.1732876712328766</v>
      </c>
      <c r="F156" s="48">
        <f t="shared" si="6"/>
        <v>0.13222031963470321</v>
      </c>
    </row>
    <row r="157" spans="1:6" x14ac:dyDescent="0.25">
      <c r="A157" s="51">
        <v>45447.999305555553</v>
      </c>
      <c r="B157" s="3">
        <v>482.1</v>
      </c>
      <c r="C157" s="3">
        <v>150</v>
      </c>
      <c r="D157" s="3">
        <v>146</v>
      </c>
      <c r="E157" s="52">
        <f t="shared" si="5"/>
        <v>3.3020547945205481</v>
      </c>
      <c r="F157" s="48">
        <f t="shared" si="6"/>
        <v>0.13758561643835618</v>
      </c>
    </row>
    <row r="158" spans="1:6" x14ac:dyDescent="0.25">
      <c r="A158" s="51">
        <v>45448.999305555553</v>
      </c>
      <c r="B158" s="3">
        <v>484.7</v>
      </c>
      <c r="C158" s="3">
        <v>150</v>
      </c>
      <c r="D158" s="3">
        <v>146</v>
      </c>
      <c r="E158" s="52">
        <f t="shared" si="5"/>
        <v>3.31986301369863</v>
      </c>
      <c r="F158" s="48">
        <f t="shared" si="6"/>
        <v>0.13832762557077624</v>
      </c>
    </row>
    <row r="159" spans="1:6" x14ac:dyDescent="0.25">
      <c r="A159" s="51">
        <v>45449.999305555553</v>
      </c>
      <c r="B159" s="3">
        <v>428.9</v>
      </c>
      <c r="C159" s="3">
        <v>150</v>
      </c>
      <c r="D159" s="3">
        <v>146</v>
      </c>
      <c r="E159" s="52">
        <f t="shared" si="5"/>
        <v>2.9376712328767121</v>
      </c>
      <c r="F159" s="48">
        <f t="shared" si="6"/>
        <v>0.12240296803652967</v>
      </c>
    </row>
    <row r="160" spans="1:6" x14ac:dyDescent="0.25">
      <c r="A160" s="51">
        <v>45450.999305555553</v>
      </c>
      <c r="B160" s="3">
        <v>482.1</v>
      </c>
      <c r="C160" s="3">
        <v>150</v>
      </c>
      <c r="D160" s="3">
        <v>146</v>
      </c>
      <c r="E160" s="52">
        <f t="shared" si="5"/>
        <v>3.3020547945205481</v>
      </c>
      <c r="F160" s="48">
        <f t="shared" si="6"/>
        <v>0.13758561643835618</v>
      </c>
    </row>
    <row r="161" spans="1:6" x14ac:dyDescent="0.25">
      <c r="A161" s="51">
        <v>45451.999305555553</v>
      </c>
      <c r="B161" s="3">
        <v>474.6</v>
      </c>
      <c r="C161" s="3">
        <v>150</v>
      </c>
      <c r="D161" s="3">
        <v>146</v>
      </c>
      <c r="E161" s="52">
        <f t="shared" si="5"/>
        <v>3.2506849315068496</v>
      </c>
      <c r="F161" s="48">
        <f t="shared" si="6"/>
        <v>0.13544520547945207</v>
      </c>
    </row>
    <row r="162" spans="1:6" x14ac:dyDescent="0.25">
      <c r="A162" s="51">
        <v>45452.999305555553</v>
      </c>
      <c r="B162" s="3">
        <v>478.2</v>
      </c>
      <c r="C162" s="3">
        <v>150</v>
      </c>
      <c r="D162" s="3">
        <v>146</v>
      </c>
      <c r="E162" s="52">
        <f t="shared" si="5"/>
        <v>3.2753424657534245</v>
      </c>
      <c r="F162" s="48">
        <f t="shared" si="6"/>
        <v>0.13647260273972603</v>
      </c>
    </row>
    <row r="163" spans="1:6" x14ac:dyDescent="0.25">
      <c r="A163" s="51">
        <v>45453.999305555553</v>
      </c>
      <c r="B163" s="3">
        <v>470.8</v>
      </c>
      <c r="C163" s="3">
        <v>150</v>
      </c>
      <c r="D163" s="3">
        <v>146</v>
      </c>
      <c r="E163" s="52">
        <f t="shared" si="5"/>
        <v>3.2246575342465755</v>
      </c>
      <c r="F163" s="48">
        <f t="shared" si="6"/>
        <v>0.13436073059360731</v>
      </c>
    </row>
    <row r="164" spans="1:6" x14ac:dyDescent="0.25">
      <c r="A164" s="51">
        <v>45454.999305555553</v>
      </c>
      <c r="B164" s="3">
        <v>477.1</v>
      </c>
      <c r="C164" s="3">
        <v>150</v>
      </c>
      <c r="D164" s="3">
        <v>146</v>
      </c>
      <c r="E164" s="52">
        <f t="shared" si="5"/>
        <v>3.2678082191780824</v>
      </c>
      <c r="F164" s="48">
        <f t="shared" si="6"/>
        <v>0.13615867579908678</v>
      </c>
    </row>
    <row r="165" spans="1:6" x14ac:dyDescent="0.25">
      <c r="A165" s="51">
        <v>45455.999305555553</v>
      </c>
      <c r="B165" s="3">
        <v>475.4</v>
      </c>
      <c r="C165" s="3">
        <v>150</v>
      </c>
      <c r="D165" s="3">
        <v>146</v>
      </c>
      <c r="E165" s="52">
        <f t="shared" si="5"/>
        <v>3.2561643835616438</v>
      </c>
      <c r="F165" s="48">
        <f t="shared" si="6"/>
        <v>0.13567351598173516</v>
      </c>
    </row>
    <row r="166" spans="1:6" x14ac:dyDescent="0.25">
      <c r="A166" s="51">
        <v>45456.999305555553</v>
      </c>
      <c r="B166" s="3">
        <v>473.1</v>
      </c>
      <c r="C166" s="3">
        <v>150</v>
      </c>
      <c r="D166" s="3">
        <v>146</v>
      </c>
      <c r="E166" s="52">
        <f t="shared" si="5"/>
        <v>3.2404109589041097</v>
      </c>
      <c r="F166" s="48">
        <f t="shared" si="6"/>
        <v>0.13501712328767124</v>
      </c>
    </row>
    <row r="167" spans="1:6" x14ac:dyDescent="0.25">
      <c r="A167" s="51">
        <v>45457.999305555553</v>
      </c>
      <c r="B167" s="3">
        <v>432.8</v>
      </c>
      <c r="C167" s="3">
        <v>150</v>
      </c>
      <c r="D167" s="3">
        <v>146</v>
      </c>
      <c r="E167" s="52">
        <f t="shared" si="5"/>
        <v>2.9643835616438357</v>
      </c>
      <c r="F167" s="48">
        <f t="shared" si="6"/>
        <v>0.12351598173515982</v>
      </c>
    </row>
    <row r="168" spans="1:6" x14ac:dyDescent="0.25">
      <c r="A168" s="51">
        <v>45458.999305555553</v>
      </c>
      <c r="B168" s="3">
        <v>468</v>
      </c>
      <c r="C168" s="3">
        <v>150</v>
      </c>
      <c r="D168" s="3">
        <v>146</v>
      </c>
      <c r="E168" s="52">
        <f t="shared" si="5"/>
        <v>3.2054794520547945</v>
      </c>
      <c r="F168" s="48">
        <f t="shared" si="6"/>
        <v>0.13356164383561644</v>
      </c>
    </row>
    <row r="169" spans="1:6" x14ac:dyDescent="0.25">
      <c r="A169" s="51">
        <v>45459.999305555553</v>
      </c>
      <c r="B169" s="3">
        <v>443.8</v>
      </c>
      <c r="C169" s="3">
        <v>150</v>
      </c>
      <c r="D169" s="3">
        <v>146</v>
      </c>
      <c r="E169" s="52">
        <f t="shared" si="5"/>
        <v>3.0397260273972604</v>
      </c>
      <c r="F169" s="48">
        <f t="shared" si="6"/>
        <v>0.12665525114155252</v>
      </c>
    </row>
    <row r="170" spans="1:6" x14ac:dyDescent="0.25">
      <c r="A170" s="51">
        <v>45460.999305555553</v>
      </c>
      <c r="B170" s="3">
        <v>435.1</v>
      </c>
      <c r="C170" s="3">
        <v>150</v>
      </c>
      <c r="D170" s="3">
        <v>146</v>
      </c>
      <c r="E170" s="52">
        <f t="shared" si="5"/>
        <v>2.9801369863013698</v>
      </c>
      <c r="F170" s="48">
        <f t="shared" si="6"/>
        <v>0.12417237442922376</v>
      </c>
    </row>
    <row r="171" spans="1:6" x14ac:dyDescent="0.25">
      <c r="A171" s="51">
        <v>45461.999305555553</v>
      </c>
      <c r="B171" s="3">
        <v>145.1</v>
      </c>
      <c r="C171" s="3">
        <v>150</v>
      </c>
      <c r="D171" s="3">
        <v>146</v>
      </c>
      <c r="E171" s="52">
        <f t="shared" si="5"/>
        <v>0.99383561643835616</v>
      </c>
      <c r="F171" s="48">
        <f t="shared" si="6"/>
        <v>4.1409817351598169E-2</v>
      </c>
    </row>
    <row r="172" spans="1:6" x14ac:dyDescent="0.25">
      <c r="A172" s="51">
        <v>45462.999305555553</v>
      </c>
      <c r="B172" s="3">
        <v>422.5</v>
      </c>
      <c r="C172" s="3">
        <v>150</v>
      </c>
      <c r="D172" s="3">
        <v>146</v>
      </c>
      <c r="E172" s="52">
        <f t="shared" si="5"/>
        <v>2.8938356164383561</v>
      </c>
      <c r="F172" s="48">
        <f t="shared" si="6"/>
        <v>0.12057648401826485</v>
      </c>
    </row>
    <row r="173" spans="1:6" x14ac:dyDescent="0.25">
      <c r="A173" s="51">
        <v>45463.999305555553</v>
      </c>
      <c r="B173" s="3">
        <v>275.39999999999998</v>
      </c>
      <c r="C173" s="3">
        <v>150</v>
      </c>
      <c r="D173" s="3">
        <v>146</v>
      </c>
      <c r="E173" s="52">
        <f t="shared" si="5"/>
        <v>1.8863013698630136</v>
      </c>
      <c r="F173" s="48">
        <f t="shared" si="6"/>
        <v>7.8595890410958894E-2</v>
      </c>
    </row>
    <row r="174" spans="1:6" x14ac:dyDescent="0.25">
      <c r="A174" s="51">
        <v>45464.999305555553</v>
      </c>
      <c r="B174" s="3">
        <v>267.8</v>
      </c>
      <c r="C174" s="3">
        <v>150</v>
      </c>
      <c r="D174" s="3">
        <v>146</v>
      </c>
      <c r="E174" s="52">
        <f t="shared" si="5"/>
        <v>1.8342465753424659</v>
      </c>
      <c r="F174" s="48">
        <f t="shared" si="6"/>
        <v>7.6426940639269414E-2</v>
      </c>
    </row>
    <row r="175" spans="1:6" x14ac:dyDescent="0.25">
      <c r="A175" s="51">
        <v>45465.999305555553</v>
      </c>
      <c r="B175" s="3">
        <v>427.8</v>
      </c>
      <c r="C175" s="3">
        <v>150</v>
      </c>
      <c r="D175" s="3">
        <v>146</v>
      </c>
      <c r="E175" s="52">
        <f t="shared" si="5"/>
        <v>2.93013698630137</v>
      </c>
      <c r="F175" s="48">
        <f t="shared" si="6"/>
        <v>0.12208904109589042</v>
      </c>
    </row>
    <row r="176" spans="1:6" x14ac:dyDescent="0.25">
      <c r="A176" s="51">
        <v>45466.999305555553</v>
      </c>
      <c r="B176" s="3">
        <v>353.2</v>
      </c>
      <c r="C176" s="3">
        <v>150</v>
      </c>
      <c r="D176" s="3">
        <v>146</v>
      </c>
      <c r="E176" s="52">
        <f t="shared" si="5"/>
        <v>2.4191780821917805</v>
      </c>
      <c r="F176" s="48">
        <f t="shared" si="6"/>
        <v>0.10079908675799086</v>
      </c>
    </row>
    <row r="177" spans="1:6" x14ac:dyDescent="0.25">
      <c r="A177" s="51">
        <v>45467.999305555553</v>
      </c>
      <c r="B177" s="3">
        <v>370.8</v>
      </c>
      <c r="C177" s="3">
        <v>150</v>
      </c>
      <c r="D177" s="3">
        <v>146</v>
      </c>
      <c r="E177" s="52">
        <f t="shared" si="5"/>
        <v>2.5397260273972604</v>
      </c>
      <c r="F177" s="48">
        <f t="shared" si="6"/>
        <v>0.10582191780821919</v>
      </c>
    </row>
    <row r="178" spans="1:6" x14ac:dyDescent="0.25">
      <c r="A178" s="51">
        <v>45468.999305555553</v>
      </c>
      <c r="B178" s="3">
        <v>430.3</v>
      </c>
      <c r="C178" s="3">
        <v>150</v>
      </c>
      <c r="D178" s="3">
        <v>146</v>
      </c>
      <c r="E178" s="52">
        <f t="shared" si="5"/>
        <v>2.9472602739726028</v>
      </c>
      <c r="F178" s="48">
        <f t="shared" si="6"/>
        <v>0.12280251141552512</v>
      </c>
    </row>
    <row r="179" spans="1:6" x14ac:dyDescent="0.25">
      <c r="A179" s="51">
        <v>45469.999305555553</v>
      </c>
      <c r="B179" s="3">
        <v>399</v>
      </c>
      <c r="C179" s="3">
        <v>150</v>
      </c>
      <c r="D179" s="3">
        <v>146</v>
      </c>
      <c r="E179" s="52">
        <f t="shared" si="5"/>
        <v>2.7328767123287672</v>
      </c>
      <c r="F179" s="48">
        <f t="shared" si="6"/>
        <v>0.11386986301369863</v>
      </c>
    </row>
    <row r="180" spans="1:6" x14ac:dyDescent="0.25">
      <c r="A180" s="51">
        <v>45470.999305555553</v>
      </c>
      <c r="B180" s="3">
        <v>430.2</v>
      </c>
      <c r="C180" s="3">
        <v>150</v>
      </c>
      <c r="D180" s="3">
        <v>146</v>
      </c>
      <c r="E180" s="52">
        <f t="shared" si="5"/>
        <v>2.9465753424657533</v>
      </c>
      <c r="F180" s="48">
        <f t="shared" si="6"/>
        <v>0.12277397260273973</v>
      </c>
    </row>
    <row r="181" spans="1:6" x14ac:dyDescent="0.25">
      <c r="A181" s="51">
        <v>45471.999305555553</v>
      </c>
      <c r="B181" s="3">
        <v>415.6</v>
      </c>
      <c r="C181" s="3">
        <v>150</v>
      </c>
      <c r="D181" s="3">
        <v>146</v>
      </c>
      <c r="E181" s="52">
        <f t="shared" si="5"/>
        <v>2.8465753424657536</v>
      </c>
      <c r="F181" s="48">
        <f t="shared" si="6"/>
        <v>0.11860730593607306</v>
      </c>
    </row>
    <row r="182" spans="1:6" x14ac:dyDescent="0.25">
      <c r="A182" s="51">
        <v>45472.999305555553</v>
      </c>
      <c r="B182" s="3">
        <v>419.8</v>
      </c>
      <c r="C182" s="3">
        <v>150</v>
      </c>
      <c r="D182" s="3">
        <v>146</v>
      </c>
      <c r="E182" s="52">
        <f t="shared" si="5"/>
        <v>2.8753424657534246</v>
      </c>
      <c r="F182" s="48">
        <f t="shared" si="6"/>
        <v>0.11980593607305937</v>
      </c>
    </row>
    <row r="183" spans="1:6" x14ac:dyDescent="0.25">
      <c r="A183" s="51">
        <v>45473.999305555553</v>
      </c>
      <c r="B183" s="3">
        <v>384.5</v>
      </c>
      <c r="C183" s="3">
        <v>150</v>
      </c>
      <c r="D183" s="3">
        <v>146</v>
      </c>
      <c r="E183" s="52">
        <f t="shared" si="5"/>
        <v>2.6335616438356166</v>
      </c>
      <c r="F183" s="48">
        <f t="shared" si="6"/>
        <v>0.10973173515981735</v>
      </c>
    </row>
    <row r="184" spans="1:6" x14ac:dyDescent="0.25">
      <c r="A184" s="51">
        <v>45474.999305555553</v>
      </c>
      <c r="B184" s="3">
        <v>352.1</v>
      </c>
      <c r="C184" s="3">
        <v>150</v>
      </c>
      <c r="D184" s="3">
        <v>146</v>
      </c>
      <c r="E184" s="52">
        <f t="shared" si="5"/>
        <v>2.4116438356164385</v>
      </c>
      <c r="F184" s="48">
        <f t="shared" si="6"/>
        <v>0.10048515981735161</v>
      </c>
    </row>
    <row r="185" spans="1:6" x14ac:dyDescent="0.25">
      <c r="A185" s="51">
        <v>45475.999305555553</v>
      </c>
      <c r="B185" s="3">
        <v>294</v>
      </c>
      <c r="C185" s="3">
        <v>150</v>
      </c>
      <c r="D185" s="3">
        <v>146</v>
      </c>
      <c r="E185" s="52">
        <f t="shared" si="5"/>
        <v>2.0136986301369864</v>
      </c>
      <c r="F185" s="48">
        <f t="shared" si="6"/>
        <v>8.3904109589041098E-2</v>
      </c>
    </row>
    <row r="186" spans="1:6" x14ac:dyDescent="0.25">
      <c r="A186" s="51">
        <v>45476.999305555553</v>
      </c>
      <c r="B186" s="3">
        <v>431.7</v>
      </c>
      <c r="C186" s="3">
        <v>150</v>
      </c>
      <c r="D186" s="3">
        <v>146</v>
      </c>
      <c r="E186" s="52">
        <f t="shared" si="5"/>
        <v>2.9568493150684931</v>
      </c>
      <c r="F186" s="48">
        <f t="shared" si="6"/>
        <v>0.12320205479452054</v>
      </c>
    </row>
    <row r="187" spans="1:6" x14ac:dyDescent="0.25">
      <c r="A187" s="51">
        <v>45477.999305555553</v>
      </c>
      <c r="B187" s="3">
        <v>310.5</v>
      </c>
      <c r="C187" s="3">
        <v>150</v>
      </c>
      <c r="D187" s="3">
        <v>146</v>
      </c>
      <c r="E187" s="52">
        <f t="shared" si="5"/>
        <v>2.1267123287671232</v>
      </c>
      <c r="F187" s="48">
        <f t="shared" si="6"/>
        <v>8.861301369863013E-2</v>
      </c>
    </row>
    <row r="188" spans="1:6" x14ac:dyDescent="0.25">
      <c r="A188" s="51">
        <v>45478.999305555553</v>
      </c>
      <c r="B188" s="3">
        <v>434.4</v>
      </c>
      <c r="C188" s="3">
        <v>150</v>
      </c>
      <c r="D188" s="3">
        <v>146</v>
      </c>
      <c r="E188" s="52">
        <f t="shared" si="5"/>
        <v>2.9753424657534246</v>
      </c>
      <c r="F188" s="48">
        <f t="shared" si="6"/>
        <v>0.12397260273972602</v>
      </c>
    </row>
    <row r="189" spans="1:6" x14ac:dyDescent="0.25">
      <c r="A189" s="51">
        <v>45479.999305555553</v>
      </c>
      <c r="B189" s="3">
        <v>432.7</v>
      </c>
      <c r="C189" s="3">
        <v>150</v>
      </c>
      <c r="D189" s="3">
        <v>146</v>
      </c>
      <c r="E189" s="52">
        <f t="shared" si="5"/>
        <v>2.9636986301369861</v>
      </c>
      <c r="F189" s="48">
        <f t="shared" si="6"/>
        <v>0.12348744292237443</v>
      </c>
    </row>
    <row r="190" spans="1:6" x14ac:dyDescent="0.25">
      <c r="A190" s="51">
        <v>45480.999305555553</v>
      </c>
      <c r="B190" s="3">
        <v>393.2</v>
      </c>
      <c r="C190" s="3">
        <v>150</v>
      </c>
      <c r="D190" s="3">
        <v>146</v>
      </c>
      <c r="E190" s="52">
        <f t="shared" si="5"/>
        <v>2.6931506849315068</v>
      </c>
      <c r="F190" s="48">
        <f t="shared" si="6"/>
        <v>0.11221461187214611</v>
      </c>
    </row>
    <row r="191" spans="1:6" x14ac:dyDescent="0.25">
      <c r="A191" s="51">
        <v>45481.999305555553</v>
      </c>
      <c r="B191" s="3">
        <v>412.2</v>
      </c>
      <c r="C191" s="3">
        <v>150</v>
      </c>
      <c r="D191" s="3">
        <v>146</v>
      </c>
      <c r="E191" s="52">
        <f t="shared" si="5"/>
        <v>2.8232876712328765</v>
      </c>
      <c r="F191" s="48">
        <f t="shared" si="6"/>
        <v>0.11763698630136986</v>
      </c>
    </row>
    <row r="192" spans="1:6" x14ac:dyDescent="0.25">
      <c r="A192" s="51">
        <v>45482.999305555553</v>
      </c>
      <c r="B192" s="3">
        <v>364.7</v>
      </c>
      <c r="C192" s="3">
        <v>150</v>
      </c>
      <c r="D192" s="3">
        <v>146</v>
      </c>
      <c r="E192" s="52">
        <f t="shared" si="5"/>
        <v>2.4979452054794518</v>
      </c>
      <c r="F192" s="48">
        <f t="shared" si="6"/>
        <v>0.1040810502283105</v>
      </c>
    </row>
    <row r="193" spans="1:6" x14ac:dyDescent="0.25">
      <c r="A193" s="51">
        <v>45483.999305555553</v>
      </c>
      <c r="B193" s="3">
        <v>417.7</v>
      </c>
      <c r="C193" s="3">
        <v>150</v>
      </c>
      <c r="D193" s="3">
        <v>146</v>
      </c>
      <c r="E193" s="52">
        <f t="shared" si="5"/>
        <v>2.8609589041095891</v>
      </c>
      <c r="F193" s="48">
        <f t="shared" si="6"/>
        <v>0.11920662100456621</v>
      </c>
    </row>
    <row r="194" spans="1:6" x14ac:dyDescent="0.25">
      <c r="A194" s="51">
        <v>45484.999305555553</v>
      </c>
      <c r="B194" s="3">
        <v>424.5</v>
      </c>
      <c r="C194" s="3">
        <v>150</v>
      </c>
      <c r="D194" s="3">
        <v>146</v>
      </c>
      <c r="E194" s="52">
        <f t="shared" si="5"/>
        <v>2.9075342465753424</v>
      </c>
      <c r="F194" s="48">
        <f t="shared" si="6"/>
        <v>0.1211472602739726</v>
      </c>
    </row>
    <row r="195" spans="1:6" x14ac:dyDescent="0.25">
      <c r="A195" s="51">
        <v>45485.999305555553</v>
      </c>
      <c r="B195" s="3">
        <v>440.3</v>
      </c>
      <c r="C195" s="3">
        <v>150</v>
      </c>
      <c r="D195" s="3">
        <v>146</v>
      </c>
      <c r="E195" s="52">
        <f t="shared" ref="E195:E258" si="7">B195/D195</f>
        <v>3.0157534246575342</v>
      </c>
      <c r="F195" s="48">
        <f t="shared" ref="F195:F258" si="8">B195/(24*D195)</f>
        <v>0.12565639269406392</v>
      </c>
    </row>
    <row r="196" spans="1:6" x14ac:dyDescent="0.25">
      <c r="A196" s="51">
        <v>45486.999305555553</v>
      </c>
      <c r="B196" s="3">
        <v>333.8</v>
      </c>
      <c r="C196" s="3">
        <v>150</v>
      </c>
      <c r="D196" s="3">
        <v>146</v>
      </c>
      <c r="E196" s="52">
        <f t="shared" si="7"/>
        <v>2.2863013698630139</v>
      </c>
      <c r="F196" s="48">
        <f t="shared" si="8"/>
        <v>9.526255707762557E-2</v>
      </c>
    </row>
    <row r="197" spans="1:6" x14ac:dyDescent="0.25">
      <c r="A197" s="51">
        <v>45487.999305555553</v>
      </c>
      <c r="B197" s="3">
        <v>354.9</v>
      </c>
      <c r="C197" s="3">
        <v>150</v>
      </c>
      <c r="D197" s="3">
        <v>146</v>
      </c>
      <c r="E197" s="52">
        <f t="shared" si="7"/>
        <v>2.4308219178082191</v>
      </c>
      <c r="F197" s="48">
        <f t="shared" si="8"/>
        <v>0.10128424657534246</v>
      </c>
    </row>
    <row r="198" spans="1:6" x14ac:dyDescent="0.25">
      <c r="A198" s="51">
        <v>45488.999305555553</v>
      </c>
      <c r="B198" s="3">
        <v>446</v>
      </c>
      <c r="C198" s="3">
        <v>150</v>
      </c>
      <c r="D198" s="3">
        <v>146</v>
      </c>
      <c r="E198" s="52">
        <f t="shared" si="7"/>
        <v>3.0547945205479454</v>
      </c>
      <c r="F198" s="48">
        <f t="shared" si="8"/>
        <v>0.12728310502283105</v>
      </c>
    </row>
    <row r="199" spans="1:6" x14ac:dyDescent="0.25">
      <c r="A199" s="51">
        <v>45489.999305555553</v>
      </c>
      <c r="B199" s="3">
        <v>430.2</v>
      </c>
      <c r="C199" s="3">
        <v>150</v>
      </c>
      <c r="D199" s="3">
        <v>146</v>
      </c>
      <c r="E199" s="52">
        <f t="shared" si="7"/>
        <v>2.9465753424657533</v>
      </c>
      <c r="F199" s="48">
        <f t="shared" si="8"/>
        <v>0.12277397260273973</v>
      </c>
    </row>
    <row r="200" spans="1:6" x14ac:dyDescent="0.25">
      <c r="A200" s="51">
        <v>45490.999305555553</v>
      </c>
      <c r="B200" s="3">
        <v>439.6</v>
      </c>
      <c r="C200" s="3">
        <v>150</v>
      </c>
      <c r="D200" s="3">
        <v>146</v>
      </c>
      <c r="E200" s="52">
        <f t="shared" si="7"/>
        <v>3.010958904109589</v>
      </c>
      <c r="F200" s="48">
        <f t="shared" si="8"/>
        <v>0.12545662100456623</v>
      </c>
    </row>
    <row r="201" spans="1:6" x14ac:dyDescent="0.25">
      <c r="A201" s="51">
        <v>45491.999305555553</v>
      </c>
      <c r="B201" s="3">
        <v>402.7</v>
      </c>
      <c r="C201" s="3">
        <v>150</v>
      </c>
      <c r="D201" s="3">
        <v>146</v>
      </c>
      <c r="E201" s="52">
        <f t="shared" si="7"/>
        <v>2.7582191780821916</v>
      </c>
      <c r="F201" s="48">
        <f t="shared" si="8"/>
        <v>0.11492579908675798</v>
      </c>
    </row>
    <row r="202" spans="1:6" x14ac:dyDescent="0.25">
      <c r="A202" s="51">
        <v>45492.999305555553</v>
      </c>
      <c r="B202" s="3">
        <v>442.8</v>
      </c>
      <c r="C202" s="3">
        <v>150</v>
      </c>
      <c r="D202" s="3">
        <v>146</v>
      </c>
      <c r="E202" s="52">
        <f t="shared" si="7"/>
        <v>3.032876712328767</v>
      </c>
      <c r="F202" s="48">
        <f t="shared" si="8"/>
        <v>0.12636986301369862</v>
      </c>
    </row>
    <row r="203" spans="1:6" x14ac:dyDescent="0.25">
      <c r="A203" s="51">
        <v>45493.999305555553</v>
      </c>
      <c r="B203" s="3">
        <v>444</v>
      </c>
      <c r="C203" s="3">
        <v>150</v>
      </c>
      <c r="D203" s="3">
        <v>146</v>
      </c>
      <c r="E203" s="52">
        <f t="shared" si="7"/>
        <v>3.0410958904109591</v>
      </c>
      <c r="F203" s="48">
        <f t="shared" si="8"/>
        <v>0.12671232876712329</v>
      </c>
    </row>
    <row r="204" spans="1:6" x14ac:dyDescent="0.25">
      <c r="A204" s="51">
        <v>45494.999305555553</v>
      </c>
      <c r="B204" s="3">
        <v>451.7</v>
      </c>
      <c r="C204" s="3">
        <v>150</v>
      </c>
      <c r="D204" s="3">
        <v>146</v>
      </c>
      <c r="E204" s="52">
        <f t="shared" si="7"/>
        <v>3.0938356164383563</v>
      </c>
      <c r="F204" s="48">
        <f t="shared" si="8"/>
        <v>0.12890981735159818</v>
      </c>
    </row>
    <row r="205" spans="1:6" x14ac:dyDescent="0.25">
      <c r="A205" s="51">
        <v>45495.999305555553</v>
      </c>
      <c r="B205" s="3">
        <v>454.7</v>
      </c>
      <c r="C205" s="3">
        <v>150</v>
      </c>
      <c r="D205" s="3">
        <v>146</v>
      </c>
      <c r="E205" s="52">
        <f t="shared" si="7"/>
        <v>3.1143835616438356</v>
      </c>
      <c r="F205" s="48">
        <f t="shared" si="8"/>
        <v>0.12976598173515982</v>
      </c>
    </row>
    <row r="206" spans="1:6" x14ac:dyDescent="0.25">
      <c r="A206" s="51">
        <v>45496.999305555553</v>
      </c>
      <c r="B206" s="3">
        <v>454.8</v>
      </c>
      <c r="C206" s="3">
        <v>150</v>
      </c>
      <c r="D206" s="3">
        <v>146</v>
      </c>
      <c r="E206" s="52">
        <f t="shared" si="7"/>
        <v>3.1150684931506851</v>
      </c>
      <c r="F206" s="48">
        <f t="shared" si="8"/>
        <v>0.12979452054794521</v>
      </c>
    </row>
    <row r="207" spans="1:6" x14ac:dyDescent="0.25">
      <c r="A207" s="51">
        <v>45497.999305555553</v>
      </c>
      <c r="B207" s="3">
        <v>454.1</v>
      </c>
      <c r="C207" s="3">
        <v>150</v>
      </c>
      <c r="D207" s="3">
        <v>146</v>
      </c>
      <c r="E207" s="52">
        <f t="shared" si="7"/>
        <v>3.11027397260274</v>
      </c>
      <c r="F207" s="48">
        <f t="shared" si="8"/>
        <v>0.12959474885844749</v>
      </c>
    </row>
    <row r="208" spans="1:6" x14ac:dyDescent="0.25">
      <c r="A208" s="51">
        <v>45498.999305555553</v>
      </c>
      <c r="B208" s="3">
        <v>454.3</v>
      </c>
      <c r="C208" s="3">
        <v>150</v>
      </c>
      <c r="D208" s="3">
        <v>146</v>
      </c>
      <c r="E208" s="52">
        <f t="shared" si="7"/>
        <v>3.1116438356164386</v>
      </c>
      <c r="F208" s="48">
        <f t="shared" si="8"/>
        <v>0.12965182648401827</v>
      </c>
    </row>
    <row r="209" spans="1:6" x14ac:dyDescent="0.25">
      <c r="A209" s="51">
        <v>45499.999305555553</v>
      </c>
      <c r="B209" s="3">
        <v>454.9</v>
      </c>
      <c r="C209" s="3">
        <v>150</v>
      </c>
      <c r="D209" s="3">
        <v>146</v>
      </c>
      <c r="E209" s="52">
        <f t="shared" si="7"/>
        <v>3.1157534246575342</v>
      </c>
      <c r="F209" s="48">
        <f t="shared" si="8"/>
        <v>0.12982305936073057</v>
      </c>
    </row>
    <row r="210" spans="1:6" x14ac:dyDescent="0.25">
      <c r="A210" s="51">
        <v>45500.999305555553</v>
      </c>
      <c r="B210" s="3">
        <v>358.4</v>
      </c>
      <c r="C210" s="3">
        <v>150</v>
      </c>
      <c r="D210" s="3">
        <v>146</v>
      </c>
      <c r="E210" s="52">
        <f t="shared" si="7"/>
        <v>2.4547945205479449</v>
      </c>
      <c r="F210" s="48">
        <f t="shared" si="8"/>
        <v>0.10228310502283104</v>
      </c>
    </row>
    <row r="211" spans="1:6" x14ac:dyDescent="0.25">
      <c r="A211" s="51">
        <v>45501.999305555553</v>
      </c>
      <c r="B211" s="3">
        <v>465.2</v>
      </c>
      <c r="C211" s="3">
        <v>150</v>
      </c>
      <c r="D211" s="3">
        <v>146</v>
      </c>
      <c r="E211" s="52">
        <f t="shared" si="7"/>
        <v>3.1863013698630138</v>
      </c>
      <c r="F211" s="48">
        <f t="shared" si="8"/>
        <v>0.13276255707762558</v>
      </c>
    </row>
    <row r="212" spans="1:6" x14ac:dyDescent="0.25">
      <c r="A212" s="51">
        <v>45502.999305555553</v>
      </c>
      <c r="B212" s="3">
        <v>449.1</v>
      </c>
      <c r="C212" s="3">
        <v>150</v>
      </c>
      <c r="D212" s="3">
        <v>146</v>
      </c>
      <c r="E212" s="52">
        <f t="shared" si="7"/>
        <v>3.0760273972602743</v>
      </c>
      <c r="F212" s="48">
        <f t="shared" si="8"/>
        <v>0.12816780821917809</v>
      </c>
    </row>
    <row r="213" spans="1:6" x14ac:dyDescent="0.25">
      <c r="A213" s="51">
        <v>45503.999305555553</v>
      </c>
      <c r="B213" s="3">
        <v>428</v>
      </c>
      <c r="C213" s="3">
        <v>150</v>
      </c>
      <c r="D213" s="3">
        <v>146</v>
      </c>
      <c r="E213" s="52">
        <f t="shared" si="7"/>
        <v>2.9315068493150687</v>
      </c>
      <c r="F213" s="48">
        <f t="shared" si="8"/>
        <v>0.12214611872146118</v>
      </c>
    </row>
    <row r="214" spans="1:6" x14ac:dyDescent="0.25">
      <c r="A214" s="51">
        <v>45504.999305555553</v>
      </c>
      <c r="B214" s="3">
        <v>320.3</v>
      </c>
      <c r="C214" s="3">
        <v>150</v>
      </c>
      <c r="D214" s="3">
        <v>146</v>
      </c>
      <c r="E214" s="52">
        <f t="shared" si="7"/>
        <v>2.1938356164383563</v>
      </c>
      <c r="F214" s="48">
        <f t="shared" si="8"/>
        <v>9.1409817351598172E-2</v>
      </c>
    </row>
    <row r="215" spans="1:6" x14ac:dyDescent="0.25">
      <c r="A215" s="51">
        <v>45505.999305555553</v>
      </c>
      <c r="B215" s="3">
        <v>414.6</v>
      </c>
      <c r="C215" s="3">
        <v>150</v>
      </c>
      <c r="D215" s="3">
        <v>146</v>
      </c>
      <c r="E215" s="52">
        <f t="shared" si="7"/>
        <v>2.8397260273972602</v>
      </c>
      <c r="F215" s="48">
        <f t="shared" si="8"/>
        <v>0.11832191780821918</v>
      </c>
    </row>
    <row r="216" spans="1:6" x14ac:dyDescent="0.25">
      <c r="A216" s="51">
        <v>45506.999305555553</v>
      </c>
      <c r="B216" s="3">
        <v>468.3</v>
      </c>
      <c r="C216" s="3">
        <v>150</v>
      </c>
      <c r="D216" s="3">
        <v>146</v>
      </c>
      <c r="E216" s="52">
        <f t="shared" si="7"/>
        <v>3.2075342465753427</v>
      </c>
      <c r="F216" s="48">
        <f t="shared" si="8"/>
        <v>0.13364726027397261</v>
      </c>
    </row>
    <row r="217" spans="1:6" x14ac:dyDescent="0.25">
      <c r="A217" s="51">
        <v>45507.999305555553</v>
      </c>
      <c r="B217" s="3">
        <v>260.5</v>
      </c>
      <c r="C217" s="3">
        <v>150</v>
      </c>
      <c r="D217" s="3">
        <v>146</v>
      </c>
      <c r="E217" s="52">
        <f t="shared" si="7"/>
        <v>1.7842465753424657</v>
      </c>
      <c r="F217" s="48">
        <f t="shared" si="8"/>
        <v>7.4343607305936074E-2</v>
      </c>
    </row>
    <row r="218" spans="1:6" x14ac:dyDescent="0.25">
      <c r="A218" s="51">
        <v>45508.999305555553</v>
      </c>
      <c r="B218" s="3">
        <v>315.8</v>
      </c>
      <c r="C218" s="3">
        <v>150</v>
      </c>
      <c r="D218" s="3">
        <v>146</v>
      </c>
      <c r="E218" s="52">
        <f t="shared" si="7"/>
        <v>2.1630136986301371</v>
      </c>
      <c r="F218" s="48">
        <f t="shared" si="8"/>
        <v>9.0125570776255715E-2</v>
      </c>
    </row>
    <row r="219" spans="1:6" x14ac:dyDescent="0.25">
      <c r="A219" s="51">
        <v>45509.999305555553</v>
      </c>
      <c r="B219" s="3">
        <v>459.9</v>
      </c>
      <c r="C219" s="3">
        <v>150</v>
      </c>
      <c r="D219" s="3">
        <v>146</v>
      </c>
      <c r="E219" s="52">
        <f t="shared" si="7"/>
        <v>3.15</v>
      </c>
      <c r="F219" s="48">
        <f t="shared" si="8"/>
        <v>0.13125000000000001</v>
      </c>
    </row>
    <row r="220" spans="1:6" x14ac:dyDescent="0.25">
      <c r="A220" s="51">
        <v>45510.999305555553</v>
      </c>
      <c r="B220" s="3">
        <v>484.7</v>
      </c>
      <c r="C220" s="3">
        <v>150</v>
      </c>
      <c r="D220" s="3">
        <v>146</v>
      </c>
      <c r="E220" s="52">
        <f t="shared" si="7"/>
        <v>3.31986301369863</v>
      </c>
      <c r="F220" s="48">
        <f t="shared" si="8"/>
        <v>0.13832762557077624</v>
      </c>
    </row>
    <row r="221" spans="1:6" x14ac:dyDescent="0.25">
      <c r="A221" s="51">
        <v>45511.999305555553</v>
      </c>
      <c r="B221" s="3">
        <v>457.3</v>
      </c>
      <c r="C221" s="3">
        <v>150</v>
      </c>
      <c r="D221" s="3">
        <v>146</v>
      </c>
      <c r="E221" s="52">
        <f t="shared" si="7"/>
        <v>3.132191780821918</v>
      </c>
      <c r="F221" s="48">
        <f t="shared" si="8"/>
        <v>0.13050799086757991</v>
      </c>
    </row>
    <row r="222" spans="1:6" x14ac:dyDescent="0.25">
      <c r="A222" s="51">
        <v>45512.999305555553</v>
      </c>
      <c r="B222" s="3">
        <v>310.89999999999998</v>
      </c>
      <c r="C222" s="3">
        <v>150</v>
      </c>
      <c r="D222" s="3">
        <v>146</v>
      </c>
      <c r="E222" s="52">
        <f t="shared" si="7"/>
        <v>2.1294520547945206</v>
      </c>
      <c r="F222" s="48">
        <f t="shared" si="8"/>
        <v>8.8727168949771687E-2</v>
      </c>
    </row>
    <row r="223" spans="1:6" x14ac:dyDescent="0.25">
      <c r="A223" s="51">
        <v>45513.999305555553</v>
      </c>
      <c r="B223" s="3">
        <v>441.7</v>
      </c>
      <c r="C223" s="3">
        <v>150</v>
      </c>
      <c r="D223" s="3">
        <v>146</v>
      </c>
      <c r="E223" s="52">
        <f t="shared" si="7"/>
        <v>3.0253424657534245</v>
      </c>
      <c r="F223" s="48">
        <f t="shared" si="8"/>
        <v>0.12605593607305934</v>
      </c>
    </row>
    <row r="224" spans="1:6" x14ac:dyDescent="0.25">
      <c r="A224" s="51">
        <v>45514.999305555553</v>
      </c>
      <c r="B224" s="3">
        <v>345.9</v>
      </c>
      <c r="C224" s="3">
        <v>150</v>
      </c>
      <c r="D224" s="3">
        <v>146</v>
      </c>
      <c r="E224" s="52">
        <f t="shared" si="7"/>
        <v>2.3691780821917807</v>
      </c>
      <c r="F224" s="48">
        <f t="shared" si="8"/>
        <v>9.8715753424657535E-2</v>
      </c>
    </row>
    <row r="225" spans="1:6" x14ac:dyDescent="0.25">
      <c r="A225" s="51">
        <v>45515.999305555553</v>
      </c>
      <c r="B225" s="3">
        <v>484.6</v>
      </c>
      <c r="C225" s="3">
        <v>150</v>
      </c>
      <c r="D225" s="3">
        <v>146</v>
      </c>
      <c r="E225" s="52">
        <f t="shared" si="7"/>
        <v>3.3191780821917809</v>
      </c>
      <c r="F225" s="48">
        <f t="shared" si="8"/>
        <v>0.13829908675799088</v>
      </c>
    </row>
    <row r="226" spans="1:6" x14ac:dyDescent="0.25">
      <c r="A226" s="51">
        <v>45516.999305555553</v>
      </c>
      <c r="B226" s="3">
        <v>498</v>
      </c>
      <c r="C226" s="3">
        <v>150</v>
      </c>
      <c r="D226" s="3">
        <v>146</v>
      </c>
      <c r="E226" s="52">
        <f t="shared" si="7"/>
        <v>3.4109589041095889</v>
      </c>
      <c r="F226" s="48">
        <f t="shared" si="8"/>
        <v>0.14212328767123289</v>
      </c>
    </row>
    <row r="227" spans="1:6" x14ac:dyDescent="0.25">
      <c r="A227" s="51">
        <v>45517.999305555553</v>
      </c>
      <c r="B227" s="3">
        <v>362.7</v>
      </c>
      <c r="C227" s="3">
        <v>150</v>
      </c>
      <c r="D227" s="3">
        <v>146</v>
      </c>
      <c r="E227" s="52">
        <f t="shared" si="7"/>
        <v>2.4842465753424658</v>
      </c>
      <c r="F227" s="48">
        <f t="shared" si="8"/>
        <v>0.10351027397260273</v>
      </c>
    </row>
    <row r="228" spans="1:6" x14ac:dyDescent="0.25">
      <c r="A228" s="51">
        <v>45518.999305555553</v>
      </c>
      <c r="B228" s="3">
        <v>480.8</v>
      </c>
      <c r="C228" s="3">
        <v>150</v>
      </c>
      <c r="D228" s="3">
        <v>146</v>
      </c>
      <c r="E228" s="52">
        <f t="shared" si="7"/>
        <v>3.2931506849315069</v>
      </c>
      <c r="F228" s="48">
        <f t="shared" si="8"/>
        <v>0.13721461187214612</v>
      </c>
    </row>
    <row r="229" spans="1:6" x14ac:dyDescent="0.25">
      <c r="A229" s="51">
        <v>45519.999305555553</v>
      </c>
      <c r="B229" s="3">
        <v>470.7</v>
      </c>
      <c r="C229" s="3">
        <v>150</v>
      </c>
      <c r="D229" s="3">
        <v>146</v>
      </c>
      <c r="E229" s="52">
        <f t="shared" si="7"/>
        <v>3.223972602739726</v>
      </c>
      <c r="F229" s="48">
        <f t="shared" si="8"/>
        <v>0.13433219178082192</v>
      </c>
    </row>
    <row r="230" spans="1:6" x14ac:dyDescent="0.25">
      <c r="A230" s="51">
        <v>45520.999305555553</v>
      </c>
      <c r="B230" s="3">
        <v>468.1</v>
      </c>
      <c r="C230" s="3">
        <v>150</v>
      </c>
      <c r="D230" s="3">
        <v>146</v>
      </c>
      <c r="E230" s="52">
        <f t="shared" si="7"/>
        <v>3.206164383561644</v>
      </c>
      <c r="F230" s="48">
        <f t="shared" si="8"/>
        <v>0.13359018264840183</v>
      </c>
    </row>
    <row r="231" spans="1:6" x14ac:dyDescent="0.25">
      <c r="A231" s="51">
        <v>45521.999305555553</v>
      </c>
      <c r="B231" s="3">
        <v>487.8</v>
      </c>
      <c r="C231" s="3">
        <v>150</v>
      </c>
      <c r="D231" s="3">
        <v>146</v>
      </c>
      <c r="E231" s="52">
        <f t="shared" si="7"/>
        <v>3.3410958904109589</v>
      </c>
      <c r="F231" s="48">
        <f t="shared" si="8"/>
        <v>0.13921232876712328</v>
      </c>
    </row>
    <row r="232" spans="1:6" x14ac:dyDescent="0.25">
      <c r="A232" s="51">
        <v>45522.999305555553</v>
      </c>
      <c r="B232" s="3">
        <v>484.6</v>
      </c>
      <c r="C232" s="3">
        <v>150</v>
      </c>
      <c r="D232" s="3">
        <v>146</v>
      </c>
      <c r="E232" s="52">
        <f t="shared" si="7"/>
        <v>3.3191780821917809</v>
      </c>
      <c r="F232" s="48">
        <f t="shared" si="8"/>
        <v>0.13829908675799088</v>
      </c>
    </row>
    <row r="233" spans="1:6" x14ac:dyDescent="0.25">
      <c r="A233" s="51">
        <v>45523.999305555553</v>
      </c>
      <c r="B233" s="3">
        <v>490.9</v>
      </c>
      <c r="C233" s="3">
        <v>150</v>
      </c>
      <c r="D233" s="3">
        <v>146</v>
      </c>
      <c r="E233" s="52">
        <f t="shared" si="7"/>
        <v>3.3623287671232873</v>
      </c>
      <c r="F233" s="48">
        <f t="shared" si="8"/>
        <v>0.14009703196347031</v>
      </c>
    </row>
    <row r="234" spans="1:6" x14ac:dyDescent="0.25">
      <c r="A234" s="51">
        <v>45524.999305555553</v>
      </c>
      <c r="B234" s="3">
        <v>476.5</v>
      </c>
      <c r="C234" s="3">
        <v>150</v>
      </c>
      <c r="D234" s="3">
        <v>146</v>
      </c>
      <c r="E234" s="52">
        <f t="shared" si="7"/>
        <v>3.2636986301369864</v>
      </c>
      <c r="F234" s="48">
        <f t="shared" si="8"/>
        <v>0.13598744292237444</v>
      </c>
    </row>
    <row r="235" spans="1:6" x14ac:dyDescent="0.25">
      <c r="A235" s="51">
        <v>45525.999305555553</v>
      </c>
      <c r="B235" s="3">
        <v>482.3</v>
      </c>
      <c r="C235" s="3">
        <v>150</v>
      </c>
      <c r="D235" s="3">
        <v>146</v>
      </c>
      <c r="E235" s="52">
        <f t="shared" si="7"/>
        <v>3.3034246575342467</v>
      </c>
      <c r="F235" s="48">
        <f t="shared" si="8"/>
        <v>0.13764269406392696</v>
      </c>
    </row>
    <row r="236" spans="1:6" x14ac:dyDescent="0.25">
      <c r="A236" s="51">
        <v>45526.999305555553</v>
      </c>
      <c r="B236" s="3">
        <v>503.7</v>
      </c>
      <c r="C236" s="3">
        <v>150</v>
      </c>
      <c r="D236" s="3">
        <v>146</v>
      </c>
      <c r="E236" s="52">
        <f t="shared" si="7"/>
        <v>3.4499999999999997</v>
      </c>
      <c r="F236" s="48">
        <f t="shared" si="8"/>
        <v>0.14374999999999999</v>
      </c>
    </row>
    <row r="237" spans="1:6" x14ac:dyDescent="0.25">
      <c r="A237" s="51">
        <v>45527.999305555553</v>
      </c>
      <c r="B237" s="3">
        <v>483.6</v>
      </c>
      <c r="C237" s="3">
        <v>150</v>
      </c>
      <c r="D237" s="3">
        <v>146</v>
      </c>
      <c r="E237" s="52">
        <f t="shared" si="7"/>
        <v>3.3123287671232879</v>
      </c>
      <c r="F237" s="48">
        <f t="shared" si="8"/>
        <v>0.13801369863013699</v>
      </c>
    </row>
    <row r="238" spans="1:6" x14ac:dyDescent="0.25">
      <c r="A238" s="51">
        <v>45528.999305555553</v>
      </c>
      <c r="B238" s="3">
        <v>345.1</v>
      </c>
      <c r="C238" s="3">
        <v>150</v>
      </c>
      <c r="D238" s="3">
        <v>146</v>
      </c>
      <c r="E238" s="52">
        <f t="shared" si="7"/>
        <v>2.3636986301369864</v>
      </c>
      <c r="F238" s="48">
        <f t="shared" si="8"/>
        <v>9.8487442922374435E-2</v>
      </c>
    </row>
    <row r="239" spans="1:6" x14ac:dyDescent="0.25">
      <c r="A239" s="51">
        <v>45529.999305555553</v>
      </c>
      <c r="B239" s="3">
        <v>431.3</v>
      </c>
      <c r="C239" s="3">
        <v>150</v>
      </c>
      <c r="D239" s="3">
        <v>146</v>
      </c>
      <c r="E239" s="52">
        <f t="shared" si="7"/>
        <v>2.9541095890410958</v>
      </c>
      <c r="F239" s="48">
        <f t="shared" si="8"/>
        <v>0.123087899543379</v>
      </c>
    </row>
    <row r="240" spans="1:6" x14ac:dyDescent="0.25">
      <c r="A240" s="51">
        <v>45530.999305555553</v>
      </c>
      <c r="B240" s="3">
        <v>316</v>
      </c>
      <c r="C240" s="3">
        <v>150</v>
      </c>
      <c r="D240" s="3">
        <v>146</v>
      </c>
      <c r="E240" s="52">
        <f t="shared" si="7"/>
        <v>2.1643835616438358</v>
      </c>
      <c r="F240" s="48">
        <f t="shared" si="8"/>
        <v>9.0182648401826479E-2</v>
      </c>
    </row>
    <row r="241" spans="1:6" x14ac:dyDescent="0.25">
      <c r="A241" s="51">
        <v>45531.999305555553</v>
      </c>
      <c r="B241" s="3">
        <v>487.2</v>
      </c>
      <c r="C241" s="3">
        <v>150</v>
      </c>
      <c r="D241" s="3">
        <v>146</v>
      </c>
      <c r="E241" s="52">
        <f t="shared" si="7"/>
        <v>3.3369863013698629</v>
      </c>
      <c r="F241" s="48">
        <f t="shared" si="8"/>
        <v>0.13904109589041094</v>
      </c>
    </row>
    <row r="242" spans="1:6" x14ac:dyDescent="0.25">
      <c r="A242" s="51">
        <v>45532.999305555553</v>
      </c>
      <c r="B242" s="3">
        <v>523.20000000000005</v>
      </c>
      <c r="C242" s="3">
        <v>150</v>
      </c>
      <c r="D242" s="3">
        <v>146</v>
      </c>
      <c r="E242" s="52">
        <f t="shared" si="7"/>
        <v>3.5835616438356168</v>
      </c>
      <c r="F242" s="48">
        <f t="shared" si="8"/>
        <v>0.14931506849315071</v>
      </c>
    </row>
    <row r="243" spans="1:6" x14ac:dyDescent="0.25">
      <c r="A243" s="51">
        <v>45533.999305555553</v>
      </c>
      <c r="B243" s="3">
        <v>471.2</v>
      </c>
      <c r="C243" s="3">
        <v>150</v>
      </c>
      <c r="D243" s="3">
        <v>146</v>
      </c>
      <c r="E243" s="52">
        <f t="shared" si="7"/>
        <v>3.2273972602739724</v>
      </c>
      <c r="F243" s="48">
        <f t="shared" si="8"/>
        <v>0.13447488584474884</v>
      </c>
    </row>
    <row r="244" spans="1:6" x14ac:dyDescent="0.25">
      <c r="A244" s="51">
        <v>45534.999305555553</v>
      </c>
      <c r="B244" s="3">
        <v>532.4</v>
      </c>
      <c r="C244" s="3">
        <v>150</v>
      </c>
      <c r="D244" s="3">
        <v>146</v>
      </c>
      <c r="E244" s="52">
        <f t="shared" si="7"/>
        <v>3.6465753424657534</v>
      </c>
      <c r="F244" s="48">
        <f t="shared" si="8"/>
        <v>0.15194063926940637</v>
      </c>
    </row>
    <row r="245" spans="1:6" x14ac:dyDescent="0.25">
      <c r="A245" s="51">
        <v>45535.999305555553</v>
      </c>
      <c r="B245" s="3">
        <v>527</v>
      </c>
      <c r="C245" s="3">
        <v>150</v>
      </c>
      <c r="D245" s="3">
        <v>146</v>
      </c>
      <c r="E245" s="52">
        <f t="shared" si="7"/>
        <v>3.6095890410958904</v>
      </c>
      <c r="F245" s="48">
        <f t="shared" si="8"/>
        <v>0.15039954337899544</v>
      </c>
    </row>
    <row r="246" spans="1:6" x14ac:dyDescent="0.25">
      <c r="A246" s="51">
        <v>45536.999305555553</v>
      </c>
      <c r="B246" s="3">
        <v>506.3</v>
      </c>
      <c r="C246" s="3">
        <v>150</v>
      </c>
      <c r="D246" s="3">
        <v>146</v>
      </c>
      <c r="E246" s="52">
        <f t="shared" si="7"/>
        <v>3.4678082191780821</v>
      </c>
      <c r="F246" s="48">
        <f t="shared" si="8"/>
        <v>0.14449200913242011</v>
      </c>
    </row>
    <row r="247" spans="1:6" x14ac:dyDescent="0.25">
      <c r="A247" s="51">
        <v>45537.999305555553</v>
      </c>
      <c r="B247" s="3">
        <v>493.9</v>
      </c>
      <c r="C247" s="3">
        <v>150</v>
      </c>
      <c r="D247" s="3">
        <v>146</v>
      </c>
      <c r="E247" s="52">
        <f t="shared" si="7"/>
        <v>3.3828767123287671</v>
      </c>
      <c r="F247" s="48">
        <f t="shared" si="8"/>
        <v>0.14095319634703196</v>
      </c>
    </row>
    <row r="248" spans="1:6" x14ac:dyDescent="0.25">
      <c r="A248" s="51">
        <v>45538.999305555553</v>
      </c>
      <c r="B248" s="3">
        <v>457.5</v>
      </c>
      <c r="C248" s="3">
        <v>150</v>
      </c>
      <c r="D248" s="3">
        <v>146</v>
      </c>
      <c r="E248" s="52">
        <f t="shared" si="7"/>
        <v>3.1335616438356166</v>
      </c>
      <c r="F248" s="48">
        <f t="shared" si="8"/>
        <v>0.13056506849315069</v>
      </c>
    </row>
    <row r="249" spans="1:6" x14ac:dyDescent="0.25">
      <c r="A249" s="51">
        <v>45539.999305555553</v>
      </c>
      <c r="B249" s="3">
        <v>434.8</v>
      </c>
      <c r="C249" s="3">
        <v>150</v>
      </c>
      <c r="D249" s="3">
        <v>146</v>
      </c>
      <c r="E249" s="52">
        <f t="shared" si="7"/>
        <v>2.978082191780822</v>
      </c>
      <c r="F249" s="48">
        <f t="shared" si="8"/>
        <v>0.12408675799086759</v>
      </c>
    </row>
    <row r="250" spans="1:6" x14ac:dyDescent="0.25">
      <c r="A250" s="51">
        <v>45540.999305555553</v>
      </c>
      <c r="B250" s="3">
        <v>439.3</v>
      </c>
      <c r="C250" s="3">
        <v>150</v>
      </c>
      <c r="D250" s="3">
        <v>146</v>
      </c>
      <c r="E250" s="52">
        <f t="shared" si="7"/>
        <v>3.0089041095890412</v>
      </c>
      <c r="F250" s="48">
        <f t="shared" si="8"/>
        <v>0.12537100456621006</v>
      </c>
    </row>
    <row r="251" spans="1:6" x14ac:dyDescent="0.25">
      <c r="A251" s="51">
        <v>45541.999305555553</v>
      </c>
      <c r="B251" s="3">
        <v>430.6</v>
      </c>
      <c r="C251" s="3">
        <v>150</v>
      </c>
      <c r="D251" s="3">
        <v>146</v>
      </c>
      <c r="E251" s="52">
        <f t="shared" si="7"/>
        <v>2.9493150684931511</v>
      </c>
      <c r="F251" s="48">
        <f t="shared" si="8"/>
        <v>0.12288812785388128</v>
      </c>
    </row>
    <row r="252" spans="1:6" x14ac:dyDescent="0.25">
      <c r="A252" s="51">
        <v>45542.999305555553</v>
      </c>
      <c r="B252" s="3">
        <v>434.8</v>
      </c>
      <c r="C252" s="3">
        <v>150</v>
      </c>
      <c r="D252" s="3">
        <v>146</v>
      </c>
      <c r="E252" s="52">
        <f t="shared" si="7"/>
        <v>2.978082191780822</v>
      </c>
      <c r="F252" s="48">
        <f t="shared" si="8"/>
        <v>0.12408675799086759</v>
      </c>
    </row>
    <row r="253" spans="1:6" x14ac:dyDescent="0.25">
      <c r="A253" s="51">
        <v>45543.999305555553</v>
      </c>
      <c r="B253" s="3">
        <v>447</v>
      </c>
      <c r="C253" s="3">
        <v>150</v>
      </c>
      <c r="D253" s="3">
        <v>146</v>
      </c>
      <c r="E253" s="52">
        <f t="shared" si="7"/>
        <v>3.0616438356164384</v>
      </c>
      <c r="F253" s="48">
        <f t="shared" si="8"/>
        <v>0.12756849315068494</v>
      </c>
    </row>
    <row r="254" spans="1:6" x14ac:dyDescent="0.25">
      <c r="A254" s="51">
        <v>45544.999305555553</v>
      </c>
      <c r="B254" s="3">
        <v>494.9</v>
      </c>
      <c r="C254" s="3">
        <v>150</v>
      </c>
      <c r="D254" s="3">
        <v>146</v>
      </c>
      <c r="E254" s="52">
        <f t="shared" si="7"/>
        <v>3.38972602739726</v>
      </c>
      <c r="F254" s="48">
        <f t="shared" si="8"/>
        <v>0.14123858447488583</v>
      </c>
    </row>
    <row r="255" spans="1:6" x14ac:dyDescent="0.25">
      <c r="A255" s="51">
        <v>45545.999305555553</v>
      </c>
      <c r="B255" s="3">
        <v>523.79999999999995</v>
      </c>
      <c r="C255" s="3">
        <v>150</v>
      </c>
      <c r="D255" s="3">
        <v>146</v>
      </c>
      <c r="E255" s="52">
        <f t="shared" si="7"/>
        <v>3.587671232876712</v>
      </c>
      <c r="F255" s="48">
        <f t="shared" si="8"/>
        <v>0.14948630136986299</v>
      </c>
    </row>
    <row r="256" spans="1:6" x14ac:dyDescent="0.25">
      <c r="A256" s="51">
        <v>45546.999305555553</v>
      </c>
      <c r="B256" s="3">
        <v>530.20000000000005</v>
      </c>
      <c r="C256" s="3">
        <v>150</v>
      </c>
      <c r="D256" s="3">
        <v>146</v>
      </c>
      <c r="E256" s="52">
        <f t="shared" si="7"/>
        <v>3.6315068493150688</v>
      </c>
      <c r="F256" s="48">
        <f t="shared" si="8"/>
        <v>0.15131278538812787</v>
      </c>
    </row>
    <row r="257" spans="1:6" x14ac:dyDescent="0.25">
      <c r="A257" s="51">
        <v>45547.999305555553</v>
      </c>
      <c r="B257" s="3">
        <v>526.9</v>
      </c>
      <c r="C257" s="3">
        <v>150</v>
      </c>
      <c r="D257" s="3">
        <v>146</v>
      </c>
      <c r="E257" s="52">
        <f t="shared" si="7"/>
        <v>3.6089041095890408</v>
      </c>
      <c r="F257" s="48">
        <f t="shared" si="8"/>
        <v>0.15037100456621003</v>
      </c>
    </row>
    <row r="258" spans="1:6" x14ac:dyDescent="0.25">
      <c r="A258" s="51">
        <v>45548.999305555553</v>
      </c>
      <c r="B258" s="3">
        <v>534.6</v>
      </c>
      <c r="C258" s="3">
        <v>150</v>
      </c>
      <c r="D258" s="3">
        <v>146</v>
      </c>
      <c r="E258" s="52">
        <f t="shared" si="7"/>
        <v>3.6616438356164385</v>
      </c>
      <c r="F258" s="48">
        <f t="shared" si="8"/>
        <v>0.15256849315068494</v>
      </c>
    </row>
    <row r="259" spans="1:6" x14ac:dyDescent="0.25">
      <c r="A259" s="51">
        <v>45549.999305555553</v>
      </c>
      <c r="B259" s="3">
        <v>507.5</v>
      </c>
      <c r="C259" s="3">
        <v>150</v>
      </c>
      <c r="D259" s="3">
        <v>146</v>
      </c>
      <c r="E259" s="52">
        <f t="shared" ref="E259:E322" si="9">B259/D259</f>
        <v>3.4760273972602738</v>
      </c>
      <c r="F259" s="48">
        <f t="shared" ref="F259:F322" si="10">B259/(24*D259)</f>
        <v>0.14483447488584475</v>
      </c>
    </row>
    <row r="260" spans="1:6" x14ac:dyDescent="0.25">
      <c r="A260" s="51">
        <v>45550.999305555553</v>
      </c>
      <c r="B260" s="3">
        <v>454.4</v>
      </c>
      <c r="C260" s="3">
        <v>150</v>
      </c>
      <c r="D260" s="3">
        <v>146</v>
      </c>
      <c r="E260" s="52">
        <f t="shared" si="9"/>
        <v>3.1123287671232873</v>
      </c>
      <c r="F260" s="48">
        <f t="shared" si="10"/>
        <v>0.12968036529680366</v>
      </c>
    </row>
    <row r="261" spans="1:6" x14ac:dyDescent="0.25">
      <c r="A261" s="51">
        <v>45551.999305555553</v>
      </c>
      <c r="B261" s="3">
        <v>464.7</v>
      </c>
      <c r="C261" s="3">
        <v>150</v>
      </c>
      <c r="D261" s="3">
        <v>146</v>
      </c>
      <c r="E261" s="52">
        <f t="shared" si="9"/>
        <v>3.1828767123287669</v>
      </c>
      <c r="F261" s="48">
        <f t="shared" si="10"/>
        <v>0.13261986301369863</v>
      </c>
    </row>
    <row r="262" spans="1:6" x14ac:dyDescent="0.25">
      <c r="A262" s="51">
        <v>45552.999305555553</v>
      </c>
      <c r="B262" s="3">
        <v>491.8</v>
      </c>
      <c r="C262" s="3">
        <v>150</v>
      </c>
      <c r="D262" s="3">
        <v>146</v>
      </c>
      <c r="E262" s="52">
        <f t="shared" si="9"/>
        <v>3.3684931506849316</v>
      </c>
      <c r="F262" s="48">
        <f t="shared" si="10"/>
        <v>0.14035388127853882</v>
      </c>
    </row>
    <row r="263" spans="1:6" x14ac:dyDescent="0.25">
      <c r="A263" s="51">
        <v>45553.999305555553</v>
      </c>
      <c r="B263" s="3">
        <v>477.1</v>
      </c>
      <c r="C263" s="3">
        <v>150</v>
      </c>
      <c r="D263" s="3">
        <v>146</v>
      </c>
      <c r="E263" s="52">
        <f t="shared" si="9"/>
        <v>3.2678082191780824</v>
      </c>
      <c r="F263" s="48">
        <f t="shared" si="10"/>
        <v>0.13615867579908678</v>
      </c>
    </row>
    <row r="264" spans="1:6" x14ac:dyDescent="0.25">
      <c r="A264" s="51">
        <v>45554.999305555553</v>
      </c>
      <c r="B264" s="3">
        <v>487.5</v>
      </c>
      <c r="C264" s="3">
        <v>150</v>
      </c>
      <c r="D264" s="3">
        <v>146</v>
      </c>
      <c r="E264" s="52">
        <f t="shared" si="9"/>
        <v>3.3390410958904111</v>
      </c>
      <c r="F264" s="48">
        <f t="shared" si="10"/>
        <v>0.13912671232876711</v>
      </c>
    </row>
    <row r="265" spans="1:6" x14ac:dyDescent="0.25">
      <c r="A265" s="51">
        <v>45555.999305555553</v>
      </c>
      <c r="B265" s="3">
        <v>494.5</v>
      </c>
      <c r="C265" s="3">
        <v>150</v>
      </c>
      <c r="D265" s="3">
        <v>146</v>
      </c>
      <c r="E265" s="52">
        <f t="shared" si="9"/>
        <v>3.3869863013698631</v>
      </c>
      <c r="F265" s="48">
        <f t="shared" si="10"/>
        <v>0.1411244292237443</v>
      </c>
    </row>
    <row r="266" spans="1:6" x14ac:dyDescent="0.25">
      <c r="A266" s="51">
        <v>45556.999305555553</v>
      </c>
      <c r="B266" s="3">
        <v>492.7</v>
      </c>
      <c r="C266" s="3">
        <v>150</v>
      </c>
      <c r="D266" s="3">
        <v>146</v>
      </c>
      <c r="E266" s="52">
        <f t="shared" si="9"/>
        <v>3.3746575342465754</v>
      </c>
      <c r="F266" s="48">
        <f t="shared" si="10"/>
        <v>0.14061073059360729</v>
      </c>
    </row>
    <row r="267" spans="1:6" x14ac:dyDescent="0.25">
      <c r="A267" s="51">
        <v>45557.999305555553</v>
      </c>
      <c r="B267" s="3">
        <v>460.9</v>
      </c>
      <c r="C267" s="3">
        <v>150</v>
      </c>
      <c r="D267" s="3">
        <v>146</v>
      </c>
      <c r="E267" s="52">
        <f t="shared" si="9"/>
        <v>3.1568493150684929</v>
      </c>
      <c r="F267" s="48">
        <f t="shared" si="10"/>
        <v>0.13153538812785387</v>
      </c>
    </row>
    <row r="268" spans="1:6" x14ac:dyDescent="0.25">
      <c r="A268" s="51">
        <v>45558.999305555553</v>
      </c>
      <c r="B268" s="3">
        <v>455.6</v>
      </c>
      <c r="C268" s="3">
        <v>150</v>
      </c>
      <c r="D268" s="3">
        <v>146</v>
      </c>
      <c r="E268" s="52">
        <f t="shared" si="9"/>
        <v>3.1205479452054794</v>
      </c>
      <c r="F268" s="48">
        <f t="shared" si="10"/>
        <v>0.13002283105022833</v>
      </c>
    </row>
    <row r="269" spans="1:6" x14ac:dyDescent="0.25">
      <c r="A269" s="51">
        <v>45559.999305555553</v>
      </c>
      <c r="B269" s="3">
        <v>497.2</v>
      </c>
      <c r="C269" s="3">
        <v>150</v>
      </c>
      <c r="D269" s="3">
        <v>146</v>
      </c>
      <c r="E269" s="52">
        <f t="shared" si="9"/>
        <v>3.4054794520547946</v>
      </c>
      <c r="F269" s="48">
        <f t="shared" si="10"/>
        <v>0.14189497716894978</v>
      </c>
    </row>
    <row r="270" spans="1:6" x14ac:dyDescent="0.25">
      <c r="A270" s="51">
        <v>45560.999305555553</v>
      </c>
      <c r="B270" s="3">
        <v>521.6</v>
      </c>
      <c r="C270" s="3">
        <v>150</v>
      </c>
      <c r="D270" s="3">
        <v>146</v>
      </c>
      <c r="E270" s="52">
        <f t="shared" si="9"/>
        <v>3.5726027397260274</v>
      </c>
      <c r="F270" s="48">
        <f t="shared" si="10"/>
        <v>0.14885844748858448</v>
      </c>
    </row>
    <row r="271" spans="1:6" x14ac:dyDescent="0.25">
      <c r="A271" s="51">
        <v>45561.999305555553</v>
      </c>
      <c r="B271" s="3">
        <v>515</v>
      </c>
      <c r="C271" s="3">
        <v>150</v>
      </c>
      <c r="D271" s="3">
        <v>146</v>
      </c>
      <c r="E271" s="52">
        <f t="shared" si="9"/>
        <v>3.5273972602739727</v>
      </c>
      <c r="F271" s="48">
        <f t="shared" si="10"/>
        <v>0.14697488584474885</v>
      </c>
    </row>
    <row r="272" spans="1:6" x14ac:dyDescent="0.25">
      <c r="A272" s="51">
        <v>45562.999305555553</v>
      </c>
      <c r="B272" s="3">
        <v>485.1</v>
      </c>
      <c r="C272" s="3">
        <v>150</v>
      </c>
      <c r="D272" s="3">
        <v>146</v>
      </c>
      <c r="E272" s="52">
        <f t="shared" si="9"/>
        <v>3.3226027397260274</v>
      </c>
      <c r="F272" s="48">
        <f t="shared" si="10"/>
        <v>0.13844178082191783</v>
      </c>
    </row>
    <row r="273" spans="1:6" x14ac:dyDescent="0.25">
      <c r="A273" s="51">
        <v>45563.999305555553</v>
      </c>
      <c r="B273" s="3">
        <v>464.2</v>
      </c>
      <c r="C273" s="3">
        <v>150</v>
      </c>
      <c r="D273" s="3">
        <v>146</v>
      </c>
      <c r="E273" s="52">
        <f t="shared" si="9"/>
        <v>3.1794520547945204</v>
      </c>
      <c r="F273" s="48">
        <f t="shared" si="10"/>
        <v>0.13247716894977168</v>
      </c>
    </row>
    <row r="274" spans="1:6" x14ac:dyDescent="0.25">
      <c r="A274" s="51">
        <v>45564.999305555553</v>
      </c>
      <c r="B274" s="3">
        <v>340.3</v>
      </c>
      <c r="C274" s="3">
        <v>150</v>
      </c>
      <c r="D274" s="3">
        <v>146</v>
      </c>
      <c r="E274" s="52">
        <f t="shared" si="9"/>
        <v>2.3308219178082195</v>
      </c>
      <c r="F274" s="48">
        <f t="shared" si="10"/>
        <v>9.7117579908675797E-2</v>
      </c>
    </row>
    <row r="275" spans="1:6" x14ac:dyDescent="0.25">
      <c r="A275" s="51">
        <v>45565.999305555553</v>
      </c>
      <c r="B275" s="3">
        <v>543</v>
      </c>
      <c r="C275" s="3">
        <v>150</v>
      </c>
      <c r="D275" s="3">
        <v>146</v>
      </c>
      <c r="E275" s="52">
        <f t="shared" si="9"/>
        <v>3.7191780821917808</v>
      </c>
      <c r="F275" s="48">
        <f t="shared" si="10"/>
        <v>0.15496575342465754</v>
      </c>
    </row>
    <row r="276" spans="1:6" x14ac:dyDescent="0.25">
      <c r="A276" s="51">
        <v>45566.999305555553</v>
      </c>
      <c r="B276" s="3">
        <v>540.4</v>
      </c>
      <c r="C276" s="3">
        <v>150</v>
      </c>
      <c r="D276" s="3">
        <v>146</v>
      </c>
      <c r="E276" s="52">
        <f t="shared" si="9"/>
        <v>3.7013698630136984</v>
      </c>
      <c r="F276" s="48">
        <f t="shared" si="10"/>
        <v>0.15422374429223742</v>
      </c>
    </row>
    <row r="277" spans="1:6" x14ac:dyDescent="0.25">
      <c r="A277" s="51">
        <v>45567.999305555553</v>
      </c>
      <c r="B277" s="3">
        <v>527.6</v>
      </c>
      <c r="C277" s="3">
        <v>150</v>
      </c>
      <c r="D277" s="3">
        <v>146</v>
      </c>
      <c r="E277" s="52">
        <f t="shared" si="9"/>
        <v>3.6136986301369864</v>
      </c>
      <c r="F277" s="48">
        <f t="shared" si="10"/>
        <v>0.15057077625570778</v>
      </c>
    </row>
    <row r="278" spans="1:6" x14ac:dyDescent="0.25">
      <c r="A278" s="51">
        <v>45568.999305555553</v>
      </c>
      <c r="B278" s="3">
        <v>473.4</v>
      </c>
      <c r="C278" s="3">
        <v>150</v>
      </c>
      <c r="D278" s="3">
        <v>146</v>
      </c>
      <c r="E278" s="52">
        <f t="shared" si="9"/>
        <v>3.2424657534246575</v>
      </c>
      <c r="F278" s="48">
        <f t="shared" si="10"/>
        <v>0.1351027397260274</v>
      </c>
    </row>
    <row r="279" spans="1:6" x14ac:dyDescent="0.25">
      <c r="A279" s="51">
        <v>45569.999305555553</v>
      </c>
      <c r="B279" s="3">
        <v>468.6</v>
      </c>
      <c r="C279" s="3">
        <v>150</v>
      </c>
      <c r="D279" s="3">
        <v>146</v>
      </c>
      <c r="E279" s="52">
        <f t="shared" si="9"/>
        <v>3.2095890410958905</v>
      </c>
      <c r="F279" s="48">
        <f t="shared" si="10"/>
        <v>0.13373287671232878</v>
      </c>
    </row>
    <row r="280" spans="1:6" x14ac:dyDescent="0.25">
      <c r="A280" s="51">
        <v>45570.999305555553</v>
      </c>
      <c r="B280" s="3">
        <v>407.8</v>
      </c>
      <c r="C280" s="3">
        <v>150</v>
      </c>
      <c r="D280" s="3">
        <v>146</v>
      </c>
      <c r="E280" s="52">
        <f t="shared" si="9"/>
        <v>2.7931506849315069</v>
      </c>
      <c r="F280" s="48">
        <f t="shared" si="10"/>
        <v>0.11638127853881279</v>
      </c>
    </row>
    <row r="281" spans="1:6" x14ac:dyDescent="0.25">
      <c r="A281" s="51">
        <v>45571.999305555553</v>
      </c>
      <c r="B281" s="3">
        <v>517.29999999999995</v>
      </c>
      <c r="C281" s="3">
        <v>150</v>
      </c>
      <c r="D281" s="3">
        <v>146</v>
      </c>
      <c r="E281" s="52">
        <f t="shared" si="9"/>
        <v>3.5431506849315064</v>
      </c>
      <c r="F281" s="48">
        <f t="shared" si="10"/>
        <v>0.14763127853881278</v>
      </c>
    </row>
    <row r="282" spans="1:6" x14ac:dyDescent="0.25">
      <c r="A282" s="51">
        <v>45572.999305555553</v>
      </c>
      <c r="B282" s="3">
        <v>476.8</v>
      </c>
      <c r="C282" s="3">
        <v>150</v>
      </c>
      <c r="D282" s="3">
        <v>146</v>
      </c>
      <c r="E282" s="52">
        <f t="shared" si="9"/>
        <v>3.2657534246575342</v>
      </c>
      <c r="F282" s="48">
        <f t="shared" si="10"/>
        <v>0.13607305936073061</v>
      </c>
    </row>
    <row r="283" spans="1:6" x14ac:dyDescent="0.25">
      <c r="A283" s="51">
        <v>45573.999305555553</v>
      </c>
      <c r="B283" s="3">
        <v>473.4</v>
      </c>
      <c r="C283" s="3">
        <v>150</v>
      </c>
      <c r="D283" s="3">
        <v>146</v>
      </c>
      <c r="E283" s="52">
        <f t="shared" si="9"/>
        <v>3.2424657534246575</v>
      </c>
      <c r="F283" s="48">
        <f t="shared" si="10"/>
        <v>0.1351027397260274</v>
      </c>
    </row>
    <row r="284" spans="1:6" x14ac:dyDescent="0.25">
      <c r="A284" s="51">
        <v>45574.999305555553</v>
      </c>
      <c r="B284" s="3">
        <v>414.1</v>
      </c>
      <c r="C284" s="3">
        <v>150</v>
      </c>
      <c r="D284" s="3">
        <v>146</v>
      </c>
      <c r="E284" s="52">
        <f t="shared" si="9"/>
        <v>2.8363013698630137</v>
      </c>
      <c r="F284" s="48">
        <f t="shared" si="10"/>
        <v>0.11817922374429224</v>
      </c>
    </row>
    <row r="285" spans="1:6" x14ac:dyDescent="0.25">
      <c r="A285" s="51">
        <v>45575.999305555553</v>
      </c>
      <c r="B285" s="3">
        <v>132.6</v>
      </c>
      <c r="C285" s="3">
        <v>150</v>
      </c>
      <c r="D285" s="3">
        <v>146</v>
      </c>
      <c r="E285" s="52">
        <f t="shared" si="9"/>
        <v>0.90821917808219177</v>
      </c>
      <c r="F285" s="48">
        <f t="shared" si="10"/>
        <v>3.7842465753424655E-2</v>
      </c>
    </row>
    <row r="286" spans="1:6" x14ac:dyDescent="0.25">
      <c r="A286" s="51">
        <v>45576.999305555553</v>
      </c>
      <c r="B286" s="3">
        <v>583</v>
      </c>
      <c r="C286" s="3">
        <v>150</v>
      </c>
      <c r="D286" s="3">
        <v>146</v>
      </c>
      <c r="E286" s="52">
        <f t="shared" si="9"/>
        <v>3.993150684931507</v>
      </c>
      <c r="F286" s="48">
        <f t="shared" si="10"/>
        <v>0.16638127853881279</v>
      </c>
    </row>
    <row r="287" spans="1:6" x14ac:dyDescent="0.25">
      <c r="A287" s="51">
        <v>45577.999305555553</v>
      </c>
      <c r="B287" s="3">
        <v>349.9</v>
      </c>
      <c r="C287" s="3">
        <v>150</v>
      </c>
      <c r="D287" s="3">
        <v>146</v>
      </c>
      <c r="E287" s="52">
        <f t="shared" si="9"/>
        <v>2.3965753424657534</v>
      </c>
      <c r="F287" s="48">
        <f t="shared" si="10"/>
        <v>9.985730593607306E-2</v>
      </c>
    </row>
    <row r="288" spans="1:6" x14ac:dyDescent="0.25">
      <c r="A288" s="51">
        <v>45578.999305555553</v>
      </c>
      <c r="B288" s="3">
        <v>736.8</v>
      </c>
      <c r="C288" s="3">
        <v>150</v>
      </c>
      <c r="D288" s="3">
        <v>146</v>
      </c>
      <c r="E288" s="52">
        <f t="shared" si="9"/>
        <v>5.0465753424657533</v>
      </c>
      <c r="F288" s="48">
        <f t="shared" si="10"/>
        <v>0.21027397260273972</v>
      </c>
    </row>
    <row r="289" spans="1:6" x14ac:dyDescent="0.25">
      <c r="A289" s="51">
        <v>45579.999305555553</v>
      </c>
      <c r="B289" s="3">
        <v>678.4</v>
      </c>
      <c r="C289" s="3">
        <v>150</v>
      </c>
      <c r="D289" s="3">
        <v>146</v>
      </c>
      <c r="E289" s="52">
        <f t="shared" si="9"/>
        <v>4.646575342465753</v>
      </c>
      <c r="F289" s="48">
        <f t="shared" si="10"/>
        <v>0.19360730593607306</v>
      </c>
    </row>
    <row r="290" spans="1:6" x14ac:dyDescent="0.25">
      <c r="A290" s="51">
        <v>45580.999305555553</v>
      </c>
      <c r="B290" s="3">
        <v>623.4</v>
      </c>
      <c r="C290" s="3">
        <v>150</v>
      </c>
      <c r="D290" s="3">
        <v>146</v>
      </c>
      <c r="E290" s="52">
        <f t="shared" si="9"/>
        <v>4.2698630136986298</v>
      </c>
      <c r="F290" s="48">
        <f t="shared" si="10"/>
        <v>0.17791095890410957</v>
      </c>
    </row>
    <row r="291" spans="1:6" x14ac:dyDescent="0.25">
      <c r="A291" s="51">
        <v>45581.999305555553</v>
      </c>
      <c r="B291" s="3">
        <v>569.79999999999995</v>
      </c>
      <c r="C291" s="3">
        <v>150</v>
      </c>
      <c r="D291" s="3">
        <v>146</v>
      </c>
      <c r="E291" s="52">
        <f t="shared" si="9"/>
        <v>3.9027397260273968</v>
      </c>
      <c r="F291" s="48">
        <f t="shared" si="10"/>
        <v>0.16261415525114153</v>
      </c>
    </row>
    <row r="292" spans="1:6" x14ac:dyDescent="0.25">
      <c r="A292" s="51">
        <v>45582.999305555553</v>
      </c>
      <c r="B292" s="3">
        <v>734</v>
      </c>
      <c r="C292" s="3">
        <v>150</v>
      </c>
      <c r="D292" s="3">
        <v>146</v>
      </c>
      <c r="E292" s="52">
        <f t="shared" si="9"/>
        <v>5.0273972602739727</v>
      </c>
      <c r="F292" s="48">
        <f t="shared" si="10"/>
        <v>0.20947488584474885</v>
      </c>
    </row>
    <row r="293" spans="1:6" x14ac:dyDescent="0.25">
      <c r="A293" s="51">
        <v>45583.999305555553</v>
      </c>
      <c r="B293" s="3">
        <v>653.9</v>
      </c>
      <c r="C293" s="3">
        <v>150</v>
      </c>
      <c r="D293" s="3">
        <v>146</v>
      </c>
      <c r="E293" s="52">
        <f t="shared" si="9"/>
        <v>4.4787671232876711</v>
      </c>
      <c r="F293" s="48">
        <f t="shared" si="10"/>
        <v>0.18661529680365296</v>
      </c>
    </row>
    <row r="294" spans="1:6" x14ac:dyDescent="0.25">
      <c r="A294" s="51">
        <v>45584.999305555553</v>
      </c>
      <c r="B294" s="3">
        <v>342</v>
      </c>
      <c r="C294" s="3">
        <v>150</v>
      </c>
      <c r="D294" s="3">
        <v>146</v>
      </c>
      <c r="E294" s="52">
        <f t="shared" si="9"/>
        <v>2.3424657534246576</v>
      </c>
      <c r="F294" s="48">
        <f t="shared" si="10"/>
        <v>9.7602739726027399E-2</v>
      </c>
    </row>
    <row r="295" spans="1:6" x14ac:dyDescent="0.25">
      <c r="A295" s="51">
        <v>45585.999305555553</v>
      </c>
      <c r="B295" s="3">
        <v>211.9</v>
      </c>
      <c r="C295" s="3">
        <v>150</v>
      </c>
      <c r="D295" s="3">
        <v>146</v>
      </c>
      <c r="E295" s="52">
        <f t="shared" si="9"/>
        <v>1.4513698630136986</v>
      </c>
      <c r="F295" s="48">
        <f t="shared" si="10"/>
        <v>6.0473744292237445E-2</v>
      </c>
    </row>
    <row r="296" spans="1:6" x14ac:dyDescent="0.25">
      <c r="A296" s="51">
        <v>45586.999305555553</v>
      </c>
      <c r="B296" s="3">
        <v>322.60000000000002</v>
      </c>
      <c r="C296" s="3">
        <v>150</v>
      </c>
      <c r="D296" s="3">
        <v>146</v>
      </c>
      <c r="E296" s="52">
        <f t="shared" si="9"/>
        <v>2.2095890410958905</v>
      </c>
      <c r="F296" s="48">
        <f t="shared" si="10"/>
        <v>9.2066210045662109E-2</v>
      </c>
    </row>
    <row r="297" spans="1:6" x14ac:dyDescent="0.25">
      <c r="A297" s="51">
        <v>45587.999305555553</v>
      </c>
      <c r="B297" s="3">
        <v>498.2</v>
      </c>
      <c r="C297" s="3">
        <v>150</v>
      </c>
      <c r="D297" s="3">
        <v>146</v>
      </c>
      <c r="E297" s="52">
        <f t="shared" si="9"/>
        <v>3.4123287671232876</v>
      </c>
      <c r="F297" s="48">
        <f t="shared" si="10"/>
        <v>0.14218036529680364</v>
      </c>
    </row>
    <row r="298" spans="1:6" x14ac:dyDescent="0.25">
      <c r="A298" s="51">
        <v>45588.999305555553</v>
      </c>
      <c r="B298" s="3">
        <v>648.1</v>
      </c>
      <c r="C298" s="3">
        <v>150</v>
      </c>
      <c r="D298" s="3">
        <v>146</v>
      </c>
      <c r="E298" s="52">
        <f t="shared" si="9"/>
        <v>4.4390410958904107</v>
      </c>
      <c r="F298" s="48">
        <f t="shared" si="10"/>
        <v>0.18496004566210048</v>
      </c>
    </row>
    <row r="299" spans="1:6" x14ac:dyDescent="0.25">
      <c r="A299" s="51">
        <v>45589.999305555553</v>
      </c>
      <c r="B299" s="3">
        <v>424.4</v>
      </c>
      <c r="C299" s="3">
        <v>150</v>
      </c>
      <c r="D299" s="3">
        <v>146</v>
      </c>
      <c r="E299" s="52">
        <f t="shared" si="9"/>
        <v>2.9068493150684929</v>
      </c>
      <c r="F299" s="48">
        <f t="shared" si="10"/>
        <v>0.12111872146118721</v>
      </c>
    </row>
    <row r="300" spans="1:6" x14ac:dyDescent="0.25">
      <c r="A300" s="51">
        <v>45590.999305555553</v>
      </c>
      <c r="B300" s="3">
        <v>423.8</v>
      </c>
      <c r="C300" s="3">
        <v>150</v>
      </c>
      <c r="D300" s="3">
        <v>146</v>
      </c>
      <c r="E300" s="52">
        <f t="shared" si="9"/>
        <v>2.9027397260273973</v>
      </c>
      <c r="F300" s="48">
        <f t="shared" si="10"/>
        <v>0.12094748858447489</v>
      </c>
    </row>
    <row r="301" spans="1:6" x14ac:dyDescent="0.25">
      <c r="A301" s="51">
        <v>45591.999305555553</v>
      </c>
      <c r="B301" s="3">
        <v>671.7</v>
      </c>
      <c r="C301" s="3">
        <v>150</v>
      </c>
      <c r="D301" s="3">
        <v>146</v>
      </c>
      <c r="E301" s="52">
        <f t="shared" si="9"/>
        <v>4.6006849315068497</v>
      </c>
      <c r="F301" s="48">
        <f t="shared" si="10"/>
        <v>0.19169520547945207</v>
      </c>
    </row>
    <row r="302" spans="1:6" x14ac:dyDescent="0.25">
      <c r="A302" s="51">
        <v>45592.999305555553</v>
      </c>
      <c r="B302" s="3">
        <v>503.5</v>
      </c>
      <c r="C302" s="3">
        <v>150</v>
      </c>
      <c r="D302" s="3">
        <v>146</v>
      </c>
      <c r="E302" s="52">
        <f t="shared" si="9"/>
        <v>3.4486301369863015</v>
      </c>
      <c r="F302" s="48">
        <f t="shared" si="10"/>
        <v>0.14369292237442921</v>
      </c>
    </row>
    <row r="303" spans="1:6" x14ac:dyDescent="0.25">
      <c r="A303" s="51">
        <v>45593.999305555553</v>
      </c>
      <c r="B303" s="3">
        <v>301.3</v>
      </c>
      <c r="C303" s="3">
        <v>150</v>
      </c>
      <c r="D303" s="3">
        <v>146</v>
      </c>
      <c r="E303" s="52">
        <f t="shared" si="9"/>
        <v>2.0636986301369862</v>
      </c>
      <c r="F303" s="48">
        <f t="shared" si="10"/>
        <v>8.5987442922374438E-2</v>
      </c>
    </row>
    <row r="304" spans="1:6" x14ac:dyDescent="0.25">
      <c r="A304" s="51">
        <v>45594.999305555553</v>
      </c>
      <c r="B304" s="3">
        <v>370.9</v>
      </c>
      <c r="C304" s="3">
        <v>150</v>
      </c>
      <c r="D304" s="3">
        <v>146</v>
      </c>
      <c r="E304" s="52">
        <f t="shared" si="9"/>
        <v>2.5404109589041095</v>
      </c>
      <c r="F304" s="48">
        <f t="shared" si="10"/>
        <v>0.10585045662100456</v>
      </c>
    </row>
    <row r="305" spans="1:6" x14ac:dyDescent="0.25">
      <c r="A305" s="51">
        <v>45595.999305555553</v>
      </c>
      <c r="B305" s="3">
        <v>750.8</v>
      </c>
      <c r="C305" s="3">
        <v>150</v>
      </c>
      <c r="D305" s="3">
        <v>146</v>
      </c>
      <c r="E305" s="52">
        <f t="shared" si="9"/>
        <v>5.1424657534246574</v>
      </c>
      <c r="F305" s="48">
        <f t="shared" si="10"/>
        <v>0.21426940639269404</v>
      </c>
    </row>
    <row r="306" spans="1:6" x14ac:dyDescent="0.25">
      <c r="A306" s="51">
        <v>45596.999305555553</v>
      </c>
      <c r="B306" s="3">
        <v>768.7</v>
      </c>
      <c r="C306" s="3">
        <v>150</v>
      </c>
      <c r="D306" s="3">
        <v>146</v>
      </c>
      <c r="E306" s="52">
        <f t="shared" si="9"/>
        <v>5.265068493150685</v>
      </c>
      <c r="F306" s="48">
        <f t="shared" si="10"/>
        <v>0.21937785388127856</v>
      </c>
    </row>
    <row r="307" spans="1:6" x14ac:dyDescent="0.25">
      <c r="A307" s="51">
        <v>45597.999305555553</v>
      </c>
      <c r="B307" s="3">
        <v>647.9</v>
      </c>
      <c r="C307" s="3">
        <v>150</v>
      </c>
      <c r="D307" s="3">
        <v>146</v>
      </c>
      <c r="E307" s="52">
        <f t="shared" si="9"/>
        <v>4.4376712328767125</v>
      </c>
      <c r="F307" s="48">
        <f t="shared" si="10"/>
        <v>0.18490296803652967</v>
      </c>
    </row>
    <row r="308" spans="1:6" x14ac:dyDescent="0.25">
      <c r="A308" s="51">
        <v>45598.999305555553</v>
      </c>
      <c r="B308" s="3">
        <v>618.20000000000005</v>
      </c>
      <c r="C308" s="3">
        <v>150</v>
      </c>
      <c r="D308" s="3">
        <v>146</v>
      </c>
      <c r="E308" s="52">
        <f t="shared" si="9"/>
        <v>4.2342465753424658</v>
      </c>
      <c r="F308" s="48">
        <f t="shared" si="10"/>
        <v>0.17642694063926942</v>
      </c>
    </row>
    <row r="309" spans="1:6" x14ac:dyDescent="0.25">
      <c r="A309" s="51">
        <v>45599.999305555553</v>
      </c>
      <c r="B309" s="3">
        <v>466.2</v>
      </c>
      <c r="C309" s="3">
        <v>150</v>
      </c>
      <c r="D309" s="3">
        <v>146</v>
      </c>
      <c r="E309" s="52">
        <f t="shared" si="9"/>
        <v>3.1931506849315068</v>
      </c>
      <c r="F309" s="48">
        <f t="shared" si="10"/>
        <v>0.13304794520547944</v>
      </c>
    </row>
    <row r="310" spans="1:6" x14ac:dyDescent="0.25">
      <c r="A310" s="51">
        <v>45600.999305555553</v>
      </c>
      <c r="B310" s="3">
        <v>402.3</v>
      </c>
      <c r="C310" s="3">
        <v>150</v>
      </c>
      <c r="D310" s="3">
        <v>146</v>
      </c>
      <c r="E310" s="52">
        <f t="shared" si="9"/>
        <v>2.7554794520547947</v>
      </c>
      <c r="F310" s="48">
        <f t="shared" si="10"/>
        <v>0.11481164383561644</v>
      </c>
    </row>
    <row r="311" spans="1:6" x14ac:dyDescent="0.25">
      <c r="A311" s="51">
        <v>45601.999305555553</v>
      </c>
      <c r="B311" s="3">
        <v>411.8</v>
      </c>
      <c r="C311" s="3">
        <v>150</v>
      </c>
      <c r="D311" s="3">
        <v>146</v>
      </c>
      <c r="E311" s="52">
        <f t="shared" si="9"/>
        <v>2.8205479452054796</v>
      </c>
      <c r="F311" s="48">
        <f t="shared" si="10"/>
        <v>0.11752283105022832</v>
      </c>
    </row>
    <row r="312" spans="1:6" x14ac:dyDescent="0.25">
      <c r="A312" s="51">
        <v>45602.999305555553</v>
      </c>
      <c r="B312" s="3">
        <v>480.3</v>
      </c>
      <c r="C312" s="3">
        <v>150</v>
      </c>
      <c r="D312" s="3">
        <v>146</v>
      </c>
      <c r="E312" s="52">
        <f t="shared" si="9"/>
        <v>3.2897260273972604</v>
      </c>
      <c r="F312" s="48">
        <f t="shared" si="10"/>
        <v>0.13707191780821917</v>
      </c>
    </row>
    <row r="313" spans="1:6" x14ac:dyDescent="0.25">
      <c r="A313" s="51">
        <v>45603.999305555553</v>
      </c>
      <c r="B313" s="3">
        <v>587.6</v>
      </c>
      <c r="C313" s="3">
        <v>150</v>
      </c>
      <c r="D313" s="3">
        <v>146</v>
      </c>
      <c r="E313" s="52">
        <f t="shared" si="9"/>
        <v>4.0246575342465754</v>
      </c>
      <c r="F313" s="48">
        <f t="shared" si="10"/>
        <v>0.16769406392694064</v>
      </c>
    </row>
    <row r="314" spans="1:6" x14ac:dyDescent="0.25">
      <c r="A314" s="51">
        <v>45604.999305555553</v>
      </c>
      <c r="B314" s="3">
        <v>327.10000000000002</v>
      </c>
      <c r="C314" s="3">
        <v>150</v>
      </c>
      <c r="D314" s="3">
        <v>146</v>
      </c>
      <c r="E314" s="52">
        <f t="shared" si="9"/>
        <v>2.2404109589041097</v>
      </c>
      <c r="F314" s="48">
        <f t="shared" si="10"/>
        <v>9.3350456621004579E-2</v>
      </c>
    </row>
    <row r="315" spans="1:6" x14ac:dyDescent="0.25">
      <c r="A315" s="51">
        <v>45605.999305555553</v>
      </c>
      <c r="B315" s="3">
        <v>172.7</v>
      </c>
      <c r="C315" s="3">
        <v>150</v>
      </c>
      <c r="D315" s="3">
        <v>146</v>
      </c>
      <c r="E315" s="52">
        <f t="shared" si="9"/>
        <v>1.1828767123287671</v>
      </c>
      <c r="F315" s="48">
        <f t="shared" si="10"/>
        <v>4.9286529680365294E-2</v>
      </c>
    </row>
    <row r="316" spans="1:6" x14ac:dyDescent="0.25">
      <c r="A316" s="51">
        <v>45606.999305555553</v>
      </c>
      <c r="B316" s="3">
        <v>747</v>
      </c>
      <c r="C316" s="3">
        <v>150</v>
      </c>
      <c r="D316" s="3">
        <v>146</v>
      </c>
      <c r="E316" s="52">
        <f t="shared" si="9"/>
        <v>5.1164383561643838</v>
      </c>
      <c r="F316" s="48">
        <f t="shared" si="10"/>
        <v>0.21318493150684931</v>
      </c>
    </row>
    <row r="317" spans="1:6" x14ac:dyDescent="0.25">
      <c r="A317" s="51">
        <v>45607.999305555553</v>
      </c>
      <c r="B317" s="3">
        <v>661</v>
      </c>
      <c r="C317" s="3">
        <v>150</v>
      </c>
      <c r="D317" s="3">
        <v>146</v>
      </c>
      <c r="E317" s="52">
        <f t="shared" si="9"/>
        <v>4.5273972602739727</v>
      </c>
      <c r="F317" s="48">
        <f t="shared" si="10"/>
        <v>0.18864155251141554</v>
      </c>
    </row>
    <row r="318" spans="1:6" x14ac:dyDescent="0.25">
      <c r="A318" s="51">
        <v>45608.999305555553</v>
      </c>
      <c r="B318" s="3">
        <v>651.70000000000005</v>
      </c>
      <c r="C318" s="3">
        <v>150</v>
      </c>
      <c r="D318" s="3">
        <v>146</v>
      </c>
      <c r="E318" s="52">
        <f t="shared" si="9"/>
        <v>4.463698630136987</v>
      </c>
      <c r="F318" s="48">
        <f t="shared" si="10"/>
        <v>0.18598744292237443</v>
      </c>
    </row>
    <row r="319" spans="1:6" x14ac:dyDescent="0.25">
      <c r="A319" s="51">
        <v>45609.999305555553</v>
      </c>
      <c r="B319" s="3">
        <v>207</v>
      </c>
      <c r="C319" s="3">
        <v>150</v>
      </c>
      <c r="D319" s="3">
        <v>146</v>
      </c>
      <c r="E319" s="52">
        <f t="shared" si="9"/>
        <v>1.4178082191780821</v>
      </c>
      <c r="F319" s="48">
        <f t="shared" si="10"/>
        <v>5.9075342465753425E-2</v>
      </c>
    </row>
    <row r="320" spans="1:6" x14ac:dyDescent="0.25">
      <c r="A320" s="51">
        <v>45610.999305555553</v>
      </c>
      <c r="B320" s="3">
        <v>446.6</v>
      </c>
      <c r="C320" s="3">
        <v>150</v>
      </c>
      <c r="D320" s="3">
        <v>146</v>
      </c>
      <c r="E320" s="52">
        <f t="shared" si="9"/>
        <v>3.0589041095890415</v>
      </c>
      <c r="F320" s="48">
        <f t="shared" si="10"/>
        <v>0.12745433789954339</v>
      </c>
    </row>
    <row r="321" spans="1:6" x14ac:dyDescent="0.25">
      <c r="A321" s="51">
        <v>45611.999305555553</v>
      </c>
      <c r="B321" s="3">
        <v>314.89999999999998</v>
      </c>
      <c r="C321" s="3">
        <v>150</v>
      </c>
      <c r="D321" s="3">
        <v>146</v>
      </c>
      <c r="E321" s="52">
        <f t="shared" si="9"/>
        <v>2.1568493150684929</v>
      </c>
      <c r="F321" s="48">
        <f t="shared" si="10"/>
        <v>8.9868721461187212E-2</v>
      </c>
    </row>
    <row r="322" spans="1:6" x14ac:dyDescent="0.25">
      <c r="A322" s="51">
        <v>45612.999305555553</v>
      </c>
      <c r="B322" s="3">
        <v>278.7</v>
      </c>
      <c r="C322" s="3">
        <v>150</v>
      </c>
      <c r="D322" s="3">
        <v>146</v>
      </c>
      <c r="E322" s="52">
        <f t="shared" si="9"/>
        <v>1.9089041095890411</v>
      </c>
      <c r="F322" s="48">
        <f t="shared" si="10"/>
        <v>7.9537671232876708E-2</v>
      </c>
    </row>
    <row r="323" spans="1:6" x14ac:dyDescent="0.25">
      <c r="A323" s="51">
        <v>45613.999305555553</v>
      </c>
      <c r="B323" s="3">
        <v>460.4</v>
      </c>
      <c r="C323" s="3">
        <v>150</v>
      </c>
      <c r="D323" s="3">
        <v>146</v>
      </c>
      <c r="E323" s="52">
        <f>B323/D323</f>
        <v>3.1534246575342464</v>
      </c>
      <c r="F323" s="48">
        <f t="shared" ref="F323:F360" si="11">B323/(24*D323)</f>
        <v>0.13139269406392692</v>
      </c>
    </row>
    <row r="324" spans="1:6" x14ac:dyDescent="0.25">
      <c r="A324" s="51">
        <v>45614.999305555553</v>
      </c>
      <c r="B324" s="3">
        <v>768</v>
      </c>
      <c r="C324" s="3">
        <v>150</v>
      </c>
      <c r="D324" s="3">
        <v>146</v>
      </c>
      <c r="E324" s="52">
        <f>B324/D324</f>
        <v>5.2602739726027394</v>
      </c>
      <c r="F324" s="48">
        <f t="shared" si="11"/>
        <v>0.21917808219178081</v>
      </c>
    </row>
    <row r="325" spans="1:6" x14ac:dyDescent="0.25">
      <c r="A325" s="51">
        <v>45615.999305555553</v>
      </c>
      <c r="B325" s="3">
        <v>655.29999999999995</v>
      </c>
      <c r="C325" s="3">
        <v>150</v>
      </c>
      <c r="D325" s="3">
        <v>146</v>
      </c>
      <c r="E325" s="52">
        <f t="shared" ref="E325:E360" si="12">B325/D325</f>
        <v>4.4883561643835614</v>
      </c>
      <c r="F325" s="48">
        <f t="shared" si="11"/>
        <v>0.18701484018264838</v>
      </c>
    </row>
    <row r="326" spans="1:6" x14ac:dyDescent="0.25">
      <c r="A326" s="51">
        <v>45616.999305555553</v>
      </c>
      <c r="B326" s="3">
        <v>796.6</v>
      </c>
      <c r="C326" s="3">
        <v>150</v>
      </c>
      <c r="D326" s="3">
        <v>146</v>
      </c>
      <c r="E326" s="52">
        <f t="shared" si="12"/>
        <v>5.456164383561644</v>
      </c>
      <c r="F326" s="48">
        <f t="shared" si="11"/>
        <v>0.22734018264840183</v>
      </c>
    </row>
    <row r="327" spans="1:6" x14ac:dyDescent="0.25">
      <c r="A327" s="51">
        <v>45617.999305555553</v>
      </c>
      <c r="B327" s="3">
        <v>332.6</v>
      </c>
      <c r="C327" s="3">
        <v>150</v>
      </c>
      <c r="D327" s="3">
        <v>146</v>
      </c>
      <c r="E327" s="52">
        <f t="shared" si="12"/>
        <v>2.2780821917808223</v>
      </c>
      <c r="F327" s="48">
        <f t="shared" si="11"/>
        <v>9.4920091324200914E-2</v>
      </c>
    </row>
    <row r="328" spans="1:6" x14ac:dyDescent="0.25">
      <c r="A328" s="51">
        <v>45618.999305555553</v>
      </c>
      <c r="B328" s="3">
        <v>385.9</v>
      </c>
      <c r="C328" s="3">
        <v>150</v>
      </c>
      <c r="D328" s="3">
        <v>146</v>
      </c>
      <c r="E328" s="52">
        <f t="shared" si="12"/>
        <v>2.6431506849315065</v>
      </c>
      <c r="F328" s="48">
        <f t="shared" si="11"/>
        <v>0.11013127853881279</v>
      </c>
    </row>
    <row r="329" spans="1:6" x14ac:dyDescent="0.25">
      <c r="A329" s="51">
        <v>45619.999305555553</v>
      </c>
      <c r="B329" s="3">
        <v>402</v>
      </c>
      <c r="C329" s="3">
        <v>150</v>
      </c>
      <c r="D329" s="3">
        <v>146</v>
      </c>
      <c r="E329" s="52">
        <f t="shared" si="12"/>
        <v>2.7534246575342465</v>
      </c>
      <c r="F329" s="48">
        <f t="shared" si="11"/>
        <v>0.11472602739726027</v>
      </c>
    </row>
    <row r="330" spans="1:6" x14ac:dyDescent="0.25">
      <c r="A330" s="51">
        <v>45620.999305555553</v>
      </c>
      <c r="B330" s="3">
        <v>853.9</v>
      </c>
      <c r="C330" s="3">
        <v>150</v>
      </c>
      <c r="D330" s="3">
        <v>146</v>
      </c>
      <c r="E330" s="52">
        <f t="shared" si="12"/>
        <v>5.8486301369863014</v>
      </c>
      <c r="F330" s="48">
        <f t="shared" si="11"/>
        <v>0.24369292237442922</v>
      </c>
    </row>
    <row r="331" spans="1:6" x14ac:dyDescent="0.25">
      <c r="A331" s="51">
        <v>45621.999305555553</v>
      </c>
      <c r="B331" s="3">
        <v>642.20000000000005</v>
      </c>
      <c r="C331" s="3">
        <v>150</v>
      </c>
      <c r="D331" s="3">
        <v>146</v>
      </c>
      <c r="E331" s="52">
        <f t="shared" si="12"/>
        <v>4.3986301369863021</v>
      </c>
      <c r="F331" s="48">
        <f t="shared" si="11"/>
        <v>0.18327625570776257</v>
      </c>
    </row>
    <row r="332" spans="1:6" x14ac:dyDescent="0.25">
      <c r="A332" s="51">
        <v>45622.999305555553</v>
      </c>
      <c r="B332" s="3">
        <v>839.3</v>
      </c>
      <c r="C332" s="3">
        <v>150</v>
      </c>
      <c r="D332" s="3">
        <v>146</v>
      </c>
      <c r="E332" s="52">
        <f t="shared" si="12"/>
        <v>5.7486301369863009</v>
      </c>
      <c r="F332" s="48">
        <f t="shared" si="11"/>
        <v>0.23952625570776254</v>
      </c>
    </row>
    <row r="333" spans="1:6" x14ac:dyDescent="0.25">
      <c r="A333" s="51">
        <v>45623.999305555553</v>
      </c>
      <c r="B333" s="3">
        <v>854.8</v>
      </c>
      <c r="C333" s="3">
        <v>150</v>
      </c>
      <c r="D333" s="3">
        <v>146</v>
      </c>
      <c r="E333" s="52">
        <f t="shared" si="12"/>
        <v>5.8547945205479452</v>
      </c>
      <c r="F333" s="48">
        <f t="shared" si="11"/>
        <v>0.24394977168949769</v>
      </c>
    </row>
    <row r="334" spans="1:6" x14ac:dyDescent="0.25">
      <c r="A334" s="51">
        <v>45624.999305555553</v>
      </c>
      <c r="B334" s="3">
        <v>817.2</v>
      </c>
      <c r="C334" s="3">
        <v>150</v>
      </c>
      <c r="D334" s="3">
        <v>146</v>
      </c>
      <c r="E334" s="52">
        <f t="shared" si="12"/>
        <v>5.5972602739726032</v>
      </c>
      <c r="F334" s="48">
        <f t="shared" si="11"/>
        <v>0.23321917808219178</v>
      </c>
    </row>
    <row r="335" spans="1:6" x14ac:dyDescent="0.25">
      <c r="A335" s="51">
        <v>45625.999305555553</v>
      </c>
      <c r="B335" s="3">
        <v>670.6</v>
      </c>
      <c r="C335" s="3">
        <v>150</v>
      </c>
      <c r="D335" s="3">
        <v>146</v>
      </c>
      <c r="E335" s="52">
        <f t="shared" si="12"/>
        <v>4.5931506849315067</v>
      </c>
      <c r="F335" s="48">
        <f t="shared" si="11"/>
        <v>0.19138127853881279</v>
      </c>
    </row>
    <row r="336" spans="1:6" x14ac:dyDescent="0.25">
      <c r="A336" s="51">
        <v>45626.999305555553</v>
      </c>
      <c r="B336" s="3">
        <v>665</v>
      </c>
      <c r="C336" s="3">
        <v>150</v>
      </c>
      <c r="D336" s="3">
        <v>146</v>
      </c>
      <c r="E336" s="52">
        <f t="shared" si="12"/>
        <v>4.5547945205479454</v>
      </c>
      <c r="F336" s="48">
        <f t="shared" si="11"/>
        <v>0.18978310502283105</v>
      </c>
    </row>
    <row r="337" spans="1:6" x14ac:dyDescent="0.25">
      <c r="A337" s="53">
        <v>45627.999305555553</v>
      </c>
      <c r="B337" s="3">
        <v>561.6</v>
      </c>
      <c r="C337" s="3">
        <v>150</v>
      </c>
      <c r="D337" s="3">
        <v>146</v>
      </c>
      <c r="E337" s="52">
        <f t="shared" si="12"/>
        <v>3.8465753424657536</v>
      </c>
      <c r="F337" s="48">
        <f t="shared" si="11"/>
        <v>0.16027397260273973</v>
      </c>
    </row>
    <row r="338" spans="1:6" x14ac:dyDescent="0.25">
      <c r="A338" s="53">
        <v>45628.999305555553</v>
      </c>
      <c r="B338" s="3">
        <v>326.2</v>
      </c>
      <c r="C338" s="3">
        <v>150</v>
      </c>
      <c r="D338" s="3">
        <v>146</v>
      </c>
      <c r="E338" s="52">
        <f t="shared" si="12"/>
        <v>2.2342465753424658</v>
      </c>
      <c r="F338" s="48">
        <f t="shared" si="11"/>
        <v>9.3093607305936063E-2</v>
      </c>
    </row>
    <row r="339" spans="1:6" x14ac:dyDescent="0.25">
      <c r="A339" s="53">
        <v>45629.999305555553</v>
      </c>
      <c r="B339" s="3">
        <v>551.6</v>
      </c>
      <c r="C339" s="3">
        <v>150</v>
      </c>
      <c r="D339" s="3">
        <v>146</v>
      </c>
      <c r="E339" s="52">
        <f t="shared" si="12"/>
        <v>3.7780821917808223</v>
      </c>
      <c r="F339" s="48">
        <f t="shared" si="11"/>
        <v>0.15742009132420093</v>
      </c>
    </row>
    <row r="340" spans="1:6" x14ac:dyDescent="0.25">
      <c r="A340" s="53">
        <v>45630.999305555553</v>
      </c>
      <c r="B340" s="3">
        <v>459.5</v>
      </c>
      <c r="C340" s="3">
        <v>150</v>
      </c>
      <c r="D340" s="3">
        <v>146</v>
      </c>
      <c r="E340" s="52">
        <f t="shared" si="12"/>
        <v>3.1472602739726026</v>
      </c>
      <c r="F340" s="48">
        <f t="shared" si="11"/>
        <v>0.13113584474885845</v>
      </c>
    </row>
    <row r="341" spans="1:6" x14ac:dyDescent="0.25">
      <c r="A341" s="53">
        <v>45631.999305555553</v>
      </c>
      <c r="B341" s="3">
        <v>725.3</v>
      </c>
      <c r="C341" s="3">
        <v>150</v>
      </c>
      <c r="D341" s="3">
        <v>146</v>
      </c>
      <c r="E341" s="52">
        <f t="shared" si="12"/>
        <v>4.9678082191780817</v>
      </c>
      <c r="F341" s="48">
        <f t="shared" si="11"/>
        <v>0.20699200913242008</v>
      </c>
    </row>
    <row r="342" spans="1:6" x14ac:dyDescent="0.25">
      <c r="A342" s="53">
        <v>45632.999305555553</v>
      </c>
      <c r="B342" s="3">
        <v>920.8</v>
      </c>
      <c r="C342" s="3">
        <v>150</v>
      </c>
      <c r="D342" s="3">
        <v>146</v>
      </c>
      <c r="E342" s="52">
        <f t="shared" si="12"/>
        <v>6.3068493150684928</v>
      </c>
      <c r="F342" s="48">
        <f t="shared" si="11"/>
        <v>0.26278538812785385</v>
      </c>
    </row>
    <row r="343" spans="1:6" x14ac:dyDescent="0.25">
      <c r="A343" s="53">
        <v>45633.999305555553</v>
      </c>
      <c r="B343" s="3">
        <v>893.9</v>
      </c>
      <c r="C343" s="3">
        <v>150</v>
      </c>
      <c r="D343" s="3">
        <v>146</v>
      </c>
      <c r="E343" s="52">
        <f t="shared" si="12"/>
        <v>6.1226027397260276</v>
      </c>
      <c r="F343" s="48">
        <f t="shared" si="11"/>
        <v>0.25510844748858447</v>
      </c>
    </row>
    <row r="344" spans="1:6" x14ac:dyDescent="0.25">
      <c r="A344" s="53">
        <v>45634.999305555553</v>
      </c>
      <c r="B344" s="3">
        <v>826.3</v>
      </c>
      <c r="C344" s="3">
        <v>150</v>
      </c>
      <c r="D344" s="3">
        <v>146</v>
      </c>
      <c r="E344" s="52">
        <f t="shared" si="12"/>
        <v>5.6595890410958898</v>
      </c>
      <c r="F344" s="48">
        <f t="shared" si="11"/>
        <v>0.23581621004566208</v>
      </c>
    </row>
    <row r="345" spans="1:6" x14ac:dyDescent="0.25">
      <c r="A345" s="53">
        <v>45635.999305555553</v>
      </c>
      <c r="B345" s="3">
        <v>874.7</v>
      </c>
      <c r="C345" s="3">
        <v>150</v>
      </c>
      <c r="D345" s="3">
        <v>146</v>
      </c>
      <c r="E345" s="52">
        <f t="shared" si="12"/>
        <v>5.9910958904109588</v>
      </c>
      <c r="F345" s="48">
        <f t="shared" si="11"/>
        <v>0.24962899543378997</v>
      </c>
    </row>
    <row r="346" spans="1:6" x14ac:dyDescent="0.25">
      <c r="A346" s="53">
        <v>45636.999305555553</v>
      </c>
      <c r="B346" s="3">
        <v>567.70000000000005</v>
      </c>
      <c r="C346" s="3">
        <v>150</v>
      </c>
      <c r="D346" s="3">
        <v>146</v>
      </c>
      <c r="E346" s="52">
        <f t="shared" si="12"/>
        <v>3.8883561643835618</v>
      </c>
      <c r="F346" s="48">
        <f t="shared" si="11"/>
        <v>0.16201484018264842</v>
      </c>
    </row>
    <row r="347" spans="1:6" x14ac:dyDescent="0.25">
      <c r="A347" s="53">
        <v>45637.999305555553</v>
      </c>
      <c r="B347" s="3">
        <v>374.3</v>
      </c>
      <c r="C347" s="3">
        <v>150</v>
      </c>
      <c r="D347" s="3">
        <v>146</v>
      </c>
      <c r="E347" s="52">
        <f t="shared" si="12"/>
        <v>2.5636986301369862</v>
      </c>
      <c r="F347" s="48">
        <f t="shared" si="11"/>
        <v>0.10682077625570777</v>
      </c>
    </row>
    <row r="348" spans="1:6" x14ac:dyDescent="0.25">
      <c r="A348" s="53">
        <v>45638.999305555553</v>
      </c>
      <c r="B348" s="3">
        <v>436.8</v>
      </c>
      <c r="C348" s="3">
        <v>150</v>
      </c>
      <c r="D348" s="3">
        <v>146</v>
      </c>
      <c r="E348" s="52">
        <f t="shared" si="12"/>
        <v>2.9917808219178084</v>
      </c>
      <c r="F348" s="48">
        <f t="shared" si="11"/>
        <v>0.12465753424657534</v>
      </c>
    </row>
    <row r="349" spans="1:6" x14ac:dyDescent="0.25">
      <c r="A349" s="53">
        <v>45639.999305555553</v>
      </c>
      <c r="B349" s="3">
        <v>463</v>
      </c>
      <c r="C349" s="3">
        <v>150</v>
      </c>
      <c r="D349" s="3">
        <v>146</v>
      </c>
      <c r="E349" s="52">
        <f t="shared" si="12"/>
        <v>3.1712328767123288</v>
      </c>
      <c r="F349" s="48">
        <f t="shared" si="11"/>
        <v>0.13213470319634704</v>
      </c>
    </row>
    <row r="350" spans="1:6" x14ac:dyDescent="0.25">
      <c r="A350" s="53">
        <v>45640.999305555553</v>
      </c>
      <c r="B350" s="3">
        <v>531.79999999999995</v>
      </c>
      <c r="C350" s="3">
        <v>150</v>
      </c>
      <c r="D350" s="3">
        <v>146</v>
      </c>
      <c r="E350" s="52">
        <f t="shared" si="12"/>
        <v>3.6424657534246574</v>
      </c>
      <c r="F350" s="48">
        <f t="shared" si="11"/>
        <v>0.15176940639269404</v>
      </c>
    </row>
    <row r="351" spans="1:6" x14ac:dyDescent="0.25">
      <c r="A351" s="53">
        <v>45641.999305555553</v>
      </c>
      <c r="B351" s="3">
        <v>371.9</v>
      </c>
      <c r="C351" s="3">
        <v>150</v>
      </c>
      <c r="D351" s="3">
        <v>146</v>
      </c>
      <c r="E351" s="52">
        <f t="shared" si="12"/>
        <v>2.5472602739726025</v>
      </c>
      <c r="F351" s="48">
        <f t="shared" si="11"/>
        <v>0.10613584474885844</v>
      </c>
    </row>
    <row r="352" spans="1:6" x14ac:dyDescent="0.25">
      <c r="A352" s="53">
        <v>45642.999305555553</v>
      </c>
      <c r="B352" s="3">
        <v>383.8</v>
      </c>
      <c r="C352" s="3">
        <v>150</v>
      </c>
      <c r="D352" s="3">
        <v>146</v>
      </c>
      <c r="E352" s="52">
        <f t="shared" si="12"/>
        <v>2.6287671232876715</v>
      </c>
      <c r="F352" s="48">
        <f t="shared" si="11"/>
        <v>0.10953196347031964</v>
      </c>
    </row>
    <row r="353" spans="1:6" x14ac:dyDescent="0.25">
      <c r="A353" s="53">
        <v>45643.999305555553</v>
      </c>
      <c r="B353" s="3">
        <v>668.3</v>
      </c>
      <c r="C353" s="3">
        <v>150</v>
      </c>
      <c r="D353" s="3">
        <v>146</v>
      </c>
      <c r="E353" s="52">
        <f t="shared" si="12"/>
        <v>4.5773972602739725</v>
      </c>
      <c r="F353" s="48">
        <f t="shared" si="11"/>
        <v>0.19072488584474884</v>
      </c>
    </row>
    <row r="354" spans="1:6" x14ac:dyDescent="0.25">
      <c r="A354" s="53">
        <v>45644.999305555553</v>
      </c>
      <c r="B354" s="3">
        <v>830.5</v>
      </c>
      <c r="C354" s="3">
        <v>150</v>
      </c>
      <c r="D354" s="3">
        <v>146</v>
      </c>
      <c r="E354" s="52">
        <f t="shared" si="12"/>
        <v>5.6883561643835616</v>
      </c>
      <c r="F354" s="48">
        <f t="shared" si="11"/>
        <v>0.2370148401826484</v>
      </c>
    </row>
    <row r="355" spans="1:6" x14ac:dyDescent="0.25">
      <c r="A355" s="53">
        <v>45645.999305555553</v>
      </c>
      <c r="B355" s="3">
        <v>712.1</v>
      </c>
      <c r="C355" s="3">
        <v>150</v>
      </c>
      <c r="D355" s="3">
        <v>146</v>
      </c>
      <c r="E355" s="52">
        <f t="shared" si="12"/>
        <v>4.8773972602739724</v>
      </c>
      <c r="F355" s="48">
        <f t="shared" si="11"/>
        <v>0.20322488584474888</v>
      </c>
    </row>
    <row r="356" spans="1:6" x14ac:dyDescent="0.25">
      <c r="A356" s="53">
        <v>45646.999305555553</v>
      </c>
      <c r="B356" s="3">
        <v>521.29999999999995</v>
      </c>
      <c r="C356" s="3">
        <v>150</v>
      </c>
      <c r="D356" s="3">
        <v>146</v>
      </c>
      <c r="E356" s="52">
        <f t="shared" si="12"/>
        <v>3.5705479452054791</v>
      </c>
      <c r="F356" s="48">
        <f t="shared" si="11"/>
        <v>0.14877283105022829</v>
      </c>
    </row>
    <row r="357" spans="1:6" x14ac:dyDescent="0.25">
      <c r="A357" s="53">
        <v>45647.999305555553</v>
      </c>
      <c r="B357" s="3">
        <v>445.4</v>
      </c>
      <c r="C357" s="3">
        <v>150</v>
      </c>
      <c r="D357" s="3">
        <v>146</v>
      </c>
      <c r="E357" s="52">
        <f t="shared" si="12"/>
        <v>3.0506849315068489</v>
      </c>
      <c r="F357" s="48">
        <f t="shared" si="11"/>
        <v>0.12711187214611872</v>
      </c>
    </row>
    <row r="358" spans="1:6" x14ac:dyDescent="0.25">
      <c r="A358" s="53">
        <v>45648.999305555553</v>
      </c>
      <c r="B358" s="3">
        <v>414.4</v>
      </c>
      <c r="C358" s="3">
        <v>150</v>
      </c>
      <c r="D358" s="3">
        <v>146</v>
      </c>
      <c r="E358" s="52">
        <f t="shared" si="12"/>
        <v>2.8383561643835615</v>
      </c>
      <c r="F358" s="48">
        <f t="shared" si="11"/>
        <v>0.11826484018264839</v>
      </c>
    </row>
    <row r="359" spans="1:6" x14ac:dyDescent="0.25">
      <c r="A359" s="53">
        <v>45649.999305555553</v>
      </c>
      <c r="B359" s="3">
        <v>512.4</v>
      </c>
      <c r="C359" s="3">
        <v>150</v>
      </c>
      <c r="D359" s="3">
        <v>146</v>
      </c>
      <c r="E359" s="52">
        <f t="shared" si="12"/>
        <v>3.5095890410958903</v>
      </c>
      <c r="F359" s="48">
        <f t="shared" si="11"/>
        <v>0.14623287671232876</v>
      </c>
    </row>
    <row r="360" spans="1:6" x14ac:dyDescent="0.25">
      <c r="A360" s="53">
        <v>45650.999305555553</v>
      </c>
      <c r="B360" s="3">
        <v>610.70000000000005</v>
      </c>
      <c r="C360" s="3">
        <v>150</v>
      </c>
      <c r="D360" s="3">
        <v>146</v>
      </c>
      <c r="E360" s="52">
        <f t="shared" si="12"/>
        <v>4.1828767123287678</v>
      </c>
      <c r="F360" s="48">
        <f t="shared" si="11"/>
        <v>0.17428652968036532</v>
      </c>
    </row>
    <row r="361" spans="1:6" x14ac:dyDescent="0.25">
      <c r="A361" s="53">
        <v>45651.999305555553</v>
      </c>
      <c r="B361" s="3">
        <v>480.9</v>
      </c>
      <c r="C361" s="3">
        <v>150</v>
      </c>
      <c r="D361" s="3">
        <v>146</v>
      </c>
      <c r="E361" s="52">
        <f t="shared" ref="E361:E367" si="13">B361/D361</f>
        <v>3.293835616438356</v>
      </c>
      <c r="F361" s="48">
        <f>B361/(24*D361)</f>
        <v>0.13724315068493151</v>
      </c>
    </row>
    <row r="362" spans="1:6" x14ac:dyDescent="0.25">
      <c r="A362" s="53">
        <v>45652.999305555553</v>
      </c>
      <c r="B362" s="3">
        <v>379.3</v>
      </c>
      <c r="C362" s="3">
        <v>150</v>
      </c>
      <c r="D362" s="3">
        <v>146</v>
      </c>
      <c r="E362" s="52">
        <f t="shared" si="13"/>
        <v>2.5979452054794523</v>
      </c>
      <c r="F362" s="48">
        <f t="shared" ref="F362:F366" si="14">B362/(24*D362)</f>
        <v>0.10824771689497717</v>
      </c>
    </row>
    <row r="363" spans="1:6" x14ac:dyDescent="0.25">
      <c r="A363" s="53">
        <v>45653.999305555553</v>
      </c>
      <c r="B363" s="3">
        <v>338.7</v>
      </c>
      <c r="C363" s="3">
        <v>150</v>
      </c>
      <c r="D363" s="3">
        <v>146</v>
      </c>
      <c r="E363" s="52">
        <f t="shared" si="13"/>
        <v>2.31986301369863</v>
      </c>
      <c r="F363" s="48">
        <f t="shared" si="14"/>
        <v>9.6660958904109584E-2</v>
      </c>
    </row>
    <row r="364" spans="1:6" x14ac:dyDescent="0.25">
      <c r="A364" s="53">
        <v>45654.999305555553</v>
      </c>
      <c r="B364" s="3">
        <v>428.1</v>
      </c>
      <c r="C364" s="3">
        <v>150</v>
      </c>
      <c r="D364" s="3">
        <v>146</v>
      </c>
      <c r="E364" s="52">
        <f t="shared" si="13"/>
        <v>2.9321917808219178</v>
      </c>
      <c r="F364" s="48">
        <f t="shared" si="14"/>
        <v>0.12217465753424658</v>
      </c>
    </row>
    <row r="365" spans="1:6" x14ac:dyDescent="0.25">
      <c r="A365" s="53">
        <v>45655.999305555553</v>
      </c>
      <c r="B365" s="3">
        <v>263.7</v>
      </c>
      <c r="C365" s="3">
        <v>150</v>
      </c>
      <c r="D365" s="3">
        <v>146</v>
      </c>
      <c r="E365" s="52">
        <f t="shared" si="13"/>
        <v>1.8061643835616437</v>
      </c>
      <c r="F365" s="48">
        <f>B365/(24*D365)</f>
        <v>7.5256849315068486E-2</v>
      </c>
    </row>
    <row r="366" spans="1:6" x14ac:dyDescent="0.25">
      <c r="A366" s="53">
        <v>45656.999305555553</v>
      </c>
      <c r="B366" s="3">
        <v>457.8</v>
      </c>
      <c r="C366" s="3">
        <v>150</v>
      </c>
      <c r="D366" s="3">
        <v>146</v>
      </c>
      <c r="E366" s="52">
        <f t="shared" si="13"/>
        <v>3.1356164383561644</v>
      </c>
      <c r="F366" s="48">
        <f t="shared" si="14"/>
        <v>0.13065068493150686</v>
      </c>
    </row>
    <row r="367" spans="1:6" x14ac:dyDescent="0.25">
      <c r="A367" s="53">
        <v>45657.999305555553</v>
      </c>
      <c r="B367" s="3">
        <v>592.79999999999995</v>
      </c>
      <c r="C367" s="3">
        <v>150</v>
      </c>
      <c r="D367" s="3">
        <v>146</v>
      </c>
      <c r="E367" s="52">
        <f t="shared" si="13"/>
        <v>4.0602739726027393</v>
      </c>
      <c r="F367" s="48">
        <f>B367/(24*D367)</f>
        <v>0.16917808219178082</v>
      </c>
    </row>
  </sheetData>
  <mergeCells count="1">
    <mergeCell ref="Q1:R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C6D38-9A0F-418A-ABE5-DA4A032FC438}">
  <sheetPr codeName="Planilha4"/>
  <dimension ref="A1:R367"/>
  <sheetViews>
    <sheetView tabSelected="1" workbookViewId="0">
      <selection activeCell="L15" sqref="L15"/>
    </sheetView>
  </sheetViews>
  <sheetFormatPr defaultRowHeight="15" x14ac:dyDescent="0.25"/>
  <cols>
    <col min="1" max="1" width="15.28515625" bestFit="1" customWidth="1"/>
    <col min="2" max="2" width="14.28515625" bestFit="1" customWidth="1"/>
    <col min="3" max="3" width="23" bestFit="1" customWidth="1"/>
    <col min="4" max="4" width="11.42578125" bestFit="1" customWidth="1"/>
    <col min="5" max="5" width="16.28515625" bestFit="1" customWidth="1"/>
    <col min="6" max="6" width="18.28515625" bestFit="1" customWidth="1"/>
    <col min="7" max="7" width="21.42578125" bestFit="1" customWidth="1"/>
    <col min="10" max="10" width="26.85546875" bestFit="1" customWidth="1"/>
    <col min="11" max="11" width="30.5703125" bestFit="1" customWidth="1"/>
    <col min="12" max="12" width="22.7109375" bestFit="1" customWidth="1"/>
    <col min="13" max="13" width="15.7109375" bestFit="1" customWidth="1"/>
    <col min="14" max="14" width="18.42578125" bestFit="1" customWidth="1"/>
    <col min="15" max="15" width="5.42578125" customWidth="1"/>
    <col min="16" max="16" width="13.28515625" bestFit="1" customWidth="1"/>
    <col min="18" max="18" width="28.42578125" customWidth="1"/>
  </cols>
  <sheetData>
    <row r="1" spans="1:18" x14ac:dyDescent="0.25">
      <c r="A1" s="8" t="s">
        <v>0</v>
      </c>
      <c r="B1" s="9" t="s">
        <v>1</v>
      </c>
      <c r="C1" s="8" t="s">
        <v>2</v>
      </c>
      <c r="D1" s="9" t="s">
        <v>3</v>
      </c>
      <c r="E1" s="8" t="s">
        <v>4</v>
      </c>
      <c r="F1" s="40" t="s">
        <v>5</v>
      </c>
      <c r="G1" s="9" t="s">
        <v>19</v>
      </c>
      <c r="I1">
        <v>2025</v>
      </c>
      <c r="J1" s="6" t="s">
        <v>22</v>
      </c>
      <c r="K1" s="6" t="s">
        <v>59</v>
      </c>
      <c r="L1" s="6" t="s">
        <v>20</v>
      </c>
      <c r="M1" s="7" t="s">
        <v>6</v>
      </c>
      <c r="N1" s="27" t="s">
        <v>29</v>
      </c>
      <c r="P1" s="10" t="s">
        <v>23</v>
      </c>
      <c r="Q1" s="67" t="s">
        <v>24</v>
      </c>
      <c r="R1" s="68"/>
    </row>
    <row r="2" spans="1:18" x14ac:dyDescent="0.25">
      <c r="A2" s="51">
        <v>45658.999305555553</v>
      </c>
      <c r="B2" s="38">
        <v>555.70000000000005</v>
      </c>
      <c r="C2" s="3">
        <v>150</v>
      </c>
      <c r="D2" s="3">
        <v>146</v>
      </c>
      <c r="E2" s="47">
        <f>B2/D2</f>
        <v>3.8061643835616441</v>
      </c>
      <c r="F2" s="54">
        <f>B2/(24*D2)</f>
        <v>0.15859018264840183</v>
      </c>
      <c r="I2" s="10" t="s">
        <v>7</v>
      </c>
      <c r="J2" s="41">
        <f>AVERAGE(B2:B27)</f>
        <v>580.65769230769251</v>
      </c>
      <c r="K2" s="61">
        <f>SUM(B2:B27)/1000</f>
        <v>15.097100000000005</v>
      </c>
      <c r="L2" s="16">
        <f>SUM(E2:E27)</f>
        <v>103.40479452054792</v>
      </c>
      <c r="M2" s="18">
        <f>K2*1000/(R2*146*26)</f>
        <v>0.68570818647578236</v>
      </c>
      <c r="N2" s="18">
        <f>AVERAGE(F2:F27)</f>
        <v>0.16571281173164731</v>
      </c>
      <c r="P2" s="15" t="s">
        <v>25</v>
      </c>
      <c r="Q2" s="13" t="s">
        <v>7</v>
      </c>
      <c r="R2" s="16">
        <v>5.8</v>
      </c>
    </row>
    <row r="3" spans="1:18" x14ac:dyDescent="0.25">
      <c r="A3" s="51">
        <v>45659.999305555553</v>
      </c>
      <c r="B3" s="38">
        <v>529.79999999999995</v>
      </c>
      <c r="C3" s="3">
        <v>150</v>
      </c>
      <c r="D3" s="3">
        <v>146</v>
      </c>
      <c r="E3" s="47">
        <f t="shared" ref="E3:E66" si="0">B3/D3</f>
        <v>3.628767123287671</v>
      </c>
      <c r="F3" s="54">
        <f t="shared" ref="F3:F66" si="1">B3/(24*D3)</f>
        <v>0.15119863013698628</v>
      </c>
      <c r="I3" s="6" t="s">
        <v>8</v>
      </c>
      <c r="J3" s="41">
        <f>AVERAGE(B28:B52)</f>
        <v>674.54</v>
      </c>
      <c r="K3" s="62">
        <f>SUM(B28:B52)/1000</f>
        <v>16.863499999999998</v>
      </c>
      <c r="L3" s="20">
        <f>SUM(E28:E52)</f>
        <v>115.50342465753425</v>
      </c>
      <c r="M3" s="18">
        <f>K3*1000/(R3*146*26)</f>
        <v>0.74288284446574637</v>
      </c>
      <c r="N3" s="28">
        <f>AVERAGE(F28:F52)</f>
        <v>0.19250570776255707</v>
      </c>
      <c r="P3" s="1"/>
      <c r="Q3" s="14" t="s">
        <v>8</v>
      </c>
      <c r="R3" s="19">
        <v>5.98</v>
      </c>
    </row>
    <row r="4" spans="1:18" x14ac:dyDescent="0.25">
      <c r="A4" s="51">
        <v>45660.999305555553</v>
      </c>
      <c r="B4" s="38">
        <v>362.6</v>
      </c>
      <c r="C4" s="3">
        <v>150</v>
      </c>
      <c r="D4" s="3">
        <v>146</v>
      </c>
      <c r="E4" s="47">
        <f t="shared" si="0"/>
        <v>2.4835616438356167</v>
      </c>
      <c r="F4" s="54">
        <f t="shared" si="1"/>
        <v>0.10348173515981736</v>
      </c>
      <c r="I4" s="10" t="s">
        <v>9</v>
      </c>
      <c r="J4" s="41">
        <f>AVERAGE(B53:B83)</f>
        <v>558.79354838709673</v>
      </c>
      <c r="K4" s="61">
        <f>SUM(B53:B83)/1000</f>
        <v>17.322599999999998</v>
      </c>
      <c r="L4" s="16">
        <f>SUM(E53:E83)</f>
        <v>118.64794520547946</v>
      </c>
      <c r="M4" s="18">
        <f>K4*1000/(R4*146*31)</f>
        <v>0.74317535362029086</v>
      </c>
      <c r="N4" s="18">
        <f>AVERAGE(F53:F83)</f>
        <v>0.15947304463102077</v>
      </c>
      <c r="P4" s="1"/>
      <c r="Q4" s="13" t="s">
        <v>9</v>
      </c>
      <c r="R4" s="16">
        <v>5.15</v>
      </c>
    </row>
    <row r="5" spans="1:18" x14ac:dyDescent="0.25">
      <c r="A5" s="51">
        <v>45661.999305555553</v>
      </c>
      <c r="B5" s="38">
        <v>408.5</v>
      </c>
      <c r="C5" s="3">
        <v>150</v>
      </c>
      <c r="D5" s="3">
        <v>146</v>
      </c>
      <c r="E5" s="47">
        <f t="shared" si="0"/>
        <v>2.797945205479452</v>
      </c>
      <c r="F5" s="54">
        <f t="shared" si="1"/>
        <v>0.1165810502283105</v>
      </c>
      <c r="I5" s="6" t="s">
        <v>10</v>
      </c>
      <c r="J5" s="42">
        <f>AVERAGE(B84:B114)</f>
        <v>451.04193548387104</v>
      </c>
      <c r="K5" s="62">
        <f>SUM(B84:B113)/1000</f>
        <v>13.584600000000002</v>
      </c>
      <c r="L5" s="20">
        <f>SUM(E84:E113)</f>
        <v>93.045205479452022</v>
      </c>
      <c r="M5" s="18">
        <f>K5*1000/(R5*146*30)</f>
        <v>0.64885080529603945</v>
      </c>
      <c r="N5" s="28">
        <f>MEDIAN(F84:F113)</f>
        <v>0.13300513698630137</v>
      </c>
      <c r="P5" s="1"/>
      <c r="Q5" s="15" t="s">
        <v>10</v>
      </c>
      <c r="R5" s="20">
        <v>4.78</v>
      </c>
    </row>
    <row r="6" spans="1:18" x14ac:dyDescent="0.25">
      <c r="A6" s="51">
        <v>45662.999305555553</v>
      </c>
      <c r="B6" s="38">
        <v>634.6</v>
      </c>
      <c r="C6" s="3">
        <v>150</v>
      </c>
      <c r="D6" s="3">
        <v>146</v>
      </c>
      <c r="E6" s="47">
        <f t="shared" si="0"/>
        <v>4.3465753424657532</v>
      </c>
      <c r="F6" s="54">
        <f t="shared" si="1"/>
        <v>0.18110730593607308</v>
      </c>
      <c r="I6" s="10" t="s">
        <v>11</v>
      </c>
      <c r="J6" s="41">
        <f>AVERAGE(B114:B144)</f>
        <v>422.86774193548393</v>
      </c>
      <c r="K6" s="61">
        <f>SUM(B114:B144)/1000</f>
        <v>13.108900000000002</v>
      </c>
      <c r="L6" s="16">
        <f>SUM(E114:E144)</f>
        <v>89.519178082191786</v>
      </c>
      <c r="M6" s="18">
        <f>K6*1000/(R6*146*31)</f>
        <v>0.69456939971663867</v>
      </c>
      <c r="N6" s="18">
        <f>MEDIAN(F114:F144)</f>
        <v>0.12528538812785389</v>
      </c>
      <c r="P6" s="1"/>
      <c r="Q6" s="13" t="s">
        <v>11</v>
      </c>
      <c r="R6" s="16">
        <v>4.17</v>
      </c>
    </row>
    <row r="7" spans="1:18" x14ac:dyDescent="0.25">
      <c r="A7" s="51">
        <v>45663.999305555553</v>
      </c>
      <c r="B7" s="38">
        <v>619.5</v>
      </c>
      <c r="C7" s="3">
        <v>150</v>
      </c>
      <c r="D7" s="3">
        <v>146</v>
      </c>
      <c r="E7" s="47">
        <f t="shared" si="0"/>
        <v>4.243150684931507</v>
      </c>
      <c r="F7" s="54">
        <f t="shared" si="1"/>
        <v>0.17679794520547945</v>
      </c>
      <c r="I7" s="6" t="s">
        <v>12</v>
      </c>
      <c r="J7" s="42">
        <f>AVERAGE(B145:B174)</f>
        <v>429.7766666666667</v>
      </c>
      <c r="K7" s="62">
        <f>SUM(B145:B174)/1000</f>
        <v>12.893300000000002</v>
      </c>
      <c r="L7" s="20">
        <f>SUM(E145:E174)</f>
        <v>88.310273972602744</v>
      </c>
      <c r="M7" s="28">
        <f>K7*1000/(R7*146*30)</f>
        <v>0.7250433002676745</v>
      </c>
      <c r="N7" s="28">
        <f>MEDIAN(F145:F174)</f>
        <v>0.12698344748858448</v>
      </c>
      <c r="P7" s="1"/>
      <c r="Q7" s="15" t="s">
        <v>12</v>
      </c>
      <c r="R7" s="20">
        <v>4.0599999999999996</v>
      </c>
    </row>
    <row r="8" spans="1:18" x14ac:dyDescent="0.25">
      <c r="A8" s="51">
        <v>45664.999305555553</v>
      </c>
      <c r="B8" s="38">
        <v>344</v>
      </c>
      <c r="C8" s="3">
        <v>150</v>
      </c>
      <c r="D8" s="3">
        <v>146</v>
      </c>
      <c r="E8" s="47">
        <f t="shared" si="0"/>
        <v>2.3561643835616439</v>
      </c>
      <c r="F8" s="54">
        <f t="shared" si="1"/>
        <v>9.8173515981735154E-2</v>
      </c>
      <c r="I8" s="10" t="s">
        <v>13</v>
      </c>
      <c r="J8" s="41">
        <f>AVERAGE(B175:B205)</f>
        <v>434.77419354838707</v>
      </c>
      <c r="K8" s="61">
        <f>SUM(B175:B205)/1000</f>
        <v>13.478</v>
      </c>
      <c r="L8" s="16">
        <f>SUM(E183:E213)</f>
        <v>94.946575342465763</v>
      </c>
      <c r="M8" s="18">
        <f>K8*1000/(R8*146*31)</f>
        <v>0.69577229795862749</v>
      </c>
      <c r="N8" s="18">
        <f>MEDIAN(F183:F213)</f>
        <v>0.13173515981735159</v>
      </c>
      <c r="P8" s="1"/>
      <c r="Q8" s="13" t="s">
        <v>13</v>
      </c>
      <c r="R8" s="16">
        <v>4.28</v>
      </c>
    </row>
    <row r="9" spans="1:18" x14ac:dyDescent="0.25">
      <c r="A9" s="51">
        <v>45665.999305555553</v>
      </c>
      <c r="B9" s="38">
        <v>591.1</v>
      </c>
      <c r="C9" s="3">
        <v>150</v>
      </c>
      <c r="D9" s="3">
        <v>146</v>
      </c>
      <c r="E9" s="47">
        <f t="shared" si="0"/>
        <v>4.0486301369863016</v>
      </c>
      <c r="F9" s="54">
        <f t="shared" si="1"/>
        <v>0.16869292237442923</v>
      </c>
      <c r="I9" s="6" t="s">
        <v>14</v>
      </c>
      <c r="J9" s="42">
        <f>AVERAGE(B206:B236)</f>
        <v>491.05161290322576</v>
      </c>
      <c r="K9" s="62">
        <f>SUM(B206:B237)/1000</f>
        <v>15.637599999999999</v>
      </c>
      <c r="L9" s="20">
        <f>SUM(E206:E236)</f>
        <v>104.26438356164381</v>
      </c>
      <c r="M9" s="28">
        <f>K9*1000/(R9*146*31)</f>
        <v>0.67088536996597858</v>
      </c>
      <c r="N9" s="28">
        <f>MEDIAN(F206:F236)</f>
        <v>0.14434931506849316</v>
      </c>
      <c r="P9" s="1"/>
      <c r="Q9" s="15" t="s">
        <v>14</v>
      </c>
      <c r="R9" s="20">
        <v>5.15</v>
      </c>
    </row>
    <row r="10" spans="1:18" x14ac:dyDescent="0.25">
      <c r="A10" s="51">
        <v>45666.999305555553</v>
      </c>
      <c r="B10" s="38">
        <v>296.3</v>
      </c>
      <c r="C10" s="3">
        <v>150</v>
      </c>
      <c r="D10" s="3">
        <v>146</v>
      </c>
      <c r="E10" s="47">
        <f t="shared" si="0"/>
        <v>2.0294520547945205</v>
      </c>
      <c r="F10" s="54">
        <f t="shared" si="1"/>
        <v>8.4560502283105021E-2</v>
      </c>
      <c r="I10" s="10" t="s">
        <v>15</v>
      </c>
      <c r="J10" s="41">
        <f>AVERAGE(B237:B266)</f>
        <v>556.69333333333338</v>
      </c>
      <c r="K10" s="61">
        <f>SUM(B237:B266)/1000</f>
        <v>16.700800000000005</v>
      </c>
      <c r="L10" s="16">
        <f>SUM(E237:E266)</f>
        <v>114.38904109589042</v>
      </c>
      <c r="M10" s="18">
        <f>K10*1000/(R10*146*30)</f>
        <v>0.68826137843496049</v>
      </c>
      <c r="N10" s="18">
        <f>MEDIAN(F237:F266)</f>
        <v>0.16946347031963471</v>
      </c>
      <c r="P10" s="1"/>
      <c r="Q10" s="13" t="s">
        <v>15</v>
      </c>
      <c r="R10" s="16">
        <v>5.54</v>
      </c>
    </row>
    <row r="11" spans="1:18" x14ac:dyDescent="0.25">
      <c r="A11" s="51">
        <v>45667.999305555553</v>
      </c>
      <c r="B11" s="38">
        <v>546.70000000000005</v>
      </c>
      <c r="C11" s="3">
        <v>150</v>
      </c>
      <c r="D11" s="3">
        <v>146</v>
      </c>
      <c r="E11" s="47">
        <f t="shared" si="0"/>
        <v>3.7445205479452057</v>
      </c>
      <c r="F11" s="54">
        <f t="shared" si="1"/>
        <v>0.15602168949771691</v>
      </c>
      <c r="I11" s="6" t="s">
        <v>16</v>
      </c>
      <c r="J11" s="42">
        <f>AVERAGE(B267:B297)</f>
        <v>539.24193548387086</v>
      </c>
      <c r="K11" s="62">
        <f>SUM(B267:B297)/1000</f>
        <v>16.716499999999996</v>
      </c>
      <c r="L11" s="20">
        <f>SUM(E275:E305)</f>
        <v>111.18698630136991</v>
      </c>
      <c r="M11" s="18">
        <f>K11*1000/(R11*146*30)</f>
        <v>0.67430256385433296</v>
      </c>
      <c r="N11" s="28">
        <f>MEDIAN(F276:F306)</f>
        <v>0.15139840182648401</v>
      </c>
      <c r="P11" s="1"/>
      <c r="Q11" s="15" t="s">
        <v>16</v>
      </c>
      <c r="R11" s="20">
        <v>5.66</v>
      </c>
    </row>
    <row r="12" spans="1:18" x14ac:dyDescent="0.25">
      <c r="A12" s="51">
        <v>45668.999305555553</v>
      </c>
      <c r="B12" s="38">
        <v>701.5</v>
      </c>
      <c r="C12" s="3">
        <v>150</v>
      </c>
      <c r="D12" s="3">
        <v>146</v>
      </c>
      <c r="E12" s="47">
        <f t="shared" si="0"/>
        <v>4.8047945205479454</v>
      </c>
      <c r="F12" s="54">
        <f t="shared" si="1"/>
        <v>0.20019977168949771</v>
      </c>
      <c r="I12" s="10" t="s">
        <v>17</v>
      </c>
      <c r="J12" s="41">
        <f>AVERAGE(B298:B327)</f>
        <v>591.75666666666655</v>
      </c>
      <c r="K12" s="61">
        <f>SUM(B298:B327)/1000</f>
        <v>17.752699999999997</v>
      </c>
      <c r="L12" s="16">
        <f>SUM(E298:E327)</f>
        <v>121.59383561643834</v>
      </c>
      <c r="M12" s="18">
        <f>K12*1000/(R12*146*30)</f>
        <v>0.7575939913796782</v>
      </c>
      <c r="N12" s="18">
        <f>MEDIAN(F307:F336)</f>
        <v>0.16141552511415524</v>
      </c>
      <c r="P12" s="1"/>
      <c r="Q12" s="13" t="s">
        <v>17</v>
      </c>
      <c r="R12" s="16">
        <v>5.35</v>
      </c>
    </row>
    <row r="13" spans="1:18" x14ac:dyDescent="0.25">
      <c r="A13" s="51">
        <v>45669.999305555553</v>
      </c>
      <c r="B13" s="38">
        <v>637.6</v>
      </c>
      <c r="C13" s="3">
        <v>150</v>
      </c>
      <c r="D13" s="3">
        <v>146</v>
      </c>
      <c r="E13" s="47">
        <f t="shared" si="0"/>
        <v>4.3671232876712329</v>
      </c>
      <c r="F13" s="54">
        <f t="shared" si="1"/>
        <v>0.1819634703196347</v>
      </c>
      <c r="I13" s="6" t="s">
        <v>18</v>
      </c>
      <c r="J13" s="12" t="e">
        <f>MEDIAN(B337:B365)</f>
        <v>#NUM!</v>
      </c>
      <c r="K13" s="62"/>
      <c r="L13" s="20">
        <f>SUM(E336:E365)</f>
        <v>0</v>
      </c>
      <c r="M13" s="28" t="e">
        <f t="shared" ref="M13" si="2">J13/(R13*732*0.202)</f>
        <v>#NUM!</v>
      </c>
      <c r="N13" s="28">
        <f>MEDIAN(F336:F365)</f>
        <v>0</v>
      </c>
      <c r="P13" s="1"/>
      <c r="Q13" s="15" t="s">
        <v>18</v>
      </c>
      <c r="R13" s="20">
        <v>5.64</v>
      </c>
    </row>
    <row r="14" spans="1:18" x14ac:dyDescent="0.25">
      <c r="A14" s="51">
        <v>45670.999305555553</v>
      </c>
      <c r="B14" s="38">
        <v>507.3</v>
      </c>
      <c r="C14" s="3">
        <v>150</v>
      </c>
      <c r="D14" s="3">
        <v>146</v>
      </c>
      <c r="E14" s="47">
        <f t="shared" si="0"/>
        <v>3.4746575342465755</v>
      </c>
      <c r="F14" s="54">
        <f t="shared" si="1"/>
        <v>0.14477739726027397</v>
      </c>
      <c r="I14" s="22" t="s">
        <v>28</v>
      </c>
      <c r="J14" s="25" t="e">
        <f>SUM(J2:J13)/12</f>
        <v>#NUM!</v>
      </c>
      <c r="K14" s="63">
        <f>SUM(K2:K13)</f>
        <v>169.15560000000002</v>
      </c>
      <c r="L14" s="33">
        <f>SUM(L2:L13)</f>
        <v>1154.8116438356165</v>
      </c>
      <c r="M14" s="24" t="e">
        <f>J14/(R14*708*0.202)/12</f>
        <v>#NUM!</v>
      </c>
      <c r="N14" s="26">
        <f>MEDIAN(N2:N13)</f>
        <v>0.14787385844748857</v>
      </c>
      <c r="P14" s="1"/>
      <c r="Q14" s="29" t="s">
        <v>26</v>
      </c>
      <c r="R14" s="16">
        <v>5.13</v>
      </c>
    </row>
    <row r="15" spans="1:18" x14ac:dyDescent="0.25">
      <c r="A15" s="51">
        <v>45671.999305555553</v>
      </c>
      <c r="B15" s="38">
        <v>360.6</v>
      </c>
      <c r="C15" s="3">
        <v>150</v>
      </c>
      <c r="D15" s="3">
        <v>146</v>
      </c>
      <c r="E15" s="47">
        <f t="shared" si="0"/>
        <v>2.4698630136986304</v>
      </c>
      <c r="F15" s="54">
        <f t="shared" si="1"/>
        <v>0.10291095890410959</v>
      </c>
    </row>
    <row r="16" spans="1:18" x14ac:dyDescent="0.25">
      <c r="A16" s="51">
        <v>45672.999305555553</v>
      </c>
      <c r="B16" s="38">
        <v>388.8</v>
      </c>
      <c r="C16" s="3">
        <v>150</v>
      </c>
      <c r="D16" s="3">
        <v>146</v>
      </c>
      <c r="E16" s="47">
        <f t="shared" si="0"/>
        <v>2.6630136986301371</v>
      </c>
      <c r="F16" s="54">
        <f t="shared" si="1"/>
        <v>0.11095890410958904</v>
      </c>
    </row>
    <row r="17" spans="1:6" x14ac:dyDescent="0.25">
      <c r="A17" s="51">
        <v>45673.999305555553</v>
      </c>
      <c r="B17" s="38">
        <v>539.4</v>
      </c>
      <c r="C17" s="3">
        <v>150</v>
      </c>
      <c r="D17" s="3">
        <v>146</v>
      </c>
      <c r="E17" s="47">
        <f t="shared" si="0"/>
        <v>3.6945205479452055</v>
      </c>
      <c r="F17" s="54">
        <f t="shared" si="1"/>
        <v>0.15393835616438356</v>
      </c>
    </row>
    <row r="18" spans="1:6" x14ac:dyDescent="0.25">
      <c r="A18" s="51">
        <v>45674.999305555553</v>
      </c>
      <c r="B18" s="38">
        <v>833.1</v>
      </c>
      <c r="C18" s="3">
        <v>150</v>
      </c>
      <c r="D18" s="3">
        <v>146</v>
      </c>
      <c r="E18" s="47">
        <f t="shared" si="0"/>
        <v>5.706164383561644</v>
      </c>
      <c r="F18" s="54">
        <f t="shared" si="1"/>
        <v>0.23775684931506849</v>
      </c>
    </row>
    <row r="19" spans="1:6" x14ac:dyDescent="0.25">
      <c r="A19" s="51">
        <v>45675.999305555553</v>
      </c>
      <c r="B19" s="38">
        <v>766.7</v>
      </c>
      <c r="C19" s="3">
        <v>150</v>
      </c>
      <c r="D19" s="3">
        <v>146</v>
      </c>
      <c r="E19" s="47">
        <f t="shared" si="0"/>
        <v>5.2513698630136991</v>
      </c>
      <c r="F19" s="54">
        <f t="shared" si="1"/>
        <v>0.21880707762557078</v>
      </c>
    </row>
    <row r="20" spans="1:6" x14ac:dyDescent="0.25">
      <c r="A20" s="51">
        <v>45676.999305555553</v>
      </c>
      <c r="B20" s="38">
        <v>793.6</v>
      </c>
      <c r="C20" s="3">
        <v>150</v>
      </c>
      <c r="D20" s="3">
        <v>146</v>
      </c>
      <c r="E20" s="47">
        <f t="shared" si="0"/>
        <v>5.4356164383561643</v>
      </c>
      <c r="F20" s="54">
        <f t="shared" si="1"/>
        <v>0.22648401826484019</v>
      </c>
    </row>
    <row r="21" spans="1:6" x14ac:dyDescent="0.25">
      <c r="A21" s="51">
        <v>45677.999305555553</v>
      </c>
      <c r="B21" s="38">
        <v>822.4</v>
      </c>
      <c r="C21" s="3">
        <v>150</v>
      </c>
      <c r="D21" s="3">
        <v>146</v>
      </c>
      <c r="E21" s="47">
        <f t="shared" si="0"/>
        <v>5.6328767123287671</v>
      </c>
      <c r="F21" s="54">
        <f t="shared" si="1"/>
        <v>0.23470319634703196</v>
      </c>
    </row>
    <row r="22" spans="1:6" x14ac:dyDescent="0.25">
      <c r="A22" s="51">
        <v>45678.999305555553</v>
      </c>
      <c r="B22" s="38">
        <v>696.7</v>
      </c>
      <c r="C22" s="3">
        <v>150</v>
      </c>
      <c r="D22" s="3">
        <v>146</v>
      </c>
      <c r="E22" s="47">
        <f t="shared" si="0"/>
        <v>4.771917808219178</v>
      </c>
      <c r="F22" s="54">
        <f t="shared" si="1"/>
        <v>0.19882990867579911</v>
      </c>
    </row>
    <row r="23" spans="1:6" x14ac:dyDescent="0.25">
      <c r="A23" s="51">
        <v>45679.999305555553</v>
      </c>
      <c r="B23" s="38">
        <v>584.1</v>
      </c>
      <c r="C23" s="3">
        <v>150</v>
      </c>
      <c r="D23" s="3">
        <v>146</v>
      </c>
      <c r="E23" s="47">
        <f t="shared" si="0"/>
        <v>4.0006849315068491</v>
      </c>
      <c r="F23" s="54">
        <f t="shared" si="1"/>
        <v>0.16669520547945207</v>
      </c>
    </row>
    <row r="24" spans="1:6" x14ac:dyDescent="0.25">
      <c r="A24" s="51">
        <v>45680.999305555553</v>
      </c>
      <c r="B24" s="38">
        <v>640.1</v>
      </c>
      <c r="C24" s="3">
        <v>150</v>
      </c>
      <c r="D24" s="3">
        <v>146</v>
      </c>
      <c r="E24" s="47">
        <f t="shared" si="0"/>
        <v>4.3842465753424662</v>
      </c>
      <c r="F24" s="54">
        <f t="shared" si="1"/>
        <v>0.18267694063926943</v>
      </c>
    </row>
    <row r="25" spans="1:6" x14ac:dyDescent="0.25">
      <c r="A25" s="51">
        <v>45681.999305555553</v>
      </c>
      <c r="B25" s="38">
        <v>643.1</v>
      </c>
      <c r="C25" s="3">
        <v>150</v>
      </c>
      <c r="D25" s="3">
        <v>146</v>
      </c>
      <c r="E25" s="47">
        <f t="shared" si="0"/>
        <v>4.4047945205479451</v>
      </c>
      <c r="F25" s="54">
        <f t="shared" si="1"/>
        <v>0.18353310502283104</v>
      </c>
    </row>
    <row r="26" spans="1:6" x14ac:dyDescent="0.25">
      <c r="A26" s="51">
        <v>45682.999305555553</v>
      </c>
      <c r="B26" s="38">
        <v>734.6</v>
      </c>
      <c r="C26" s="3">
        <v>150</v>
      </c>
      <c r="D26" s="3">
        <v>146</v>
      </c>
      <c r="E26" s="47">
        <f t="shared" si="0"/>
        <v>5.0315068493150683</v>
      </c>
      <c r="F26" s="54">
        <f t="shared" si="1"/>
        <v>0.20964611872146119</v>
      </c>
    </row>
    <row r="27" spans="1:6" x14ac:dyDescent="0.25">
      <c r="A27" s="51">
        <v>45683.999305555553</v>
      </c>
      <c r="B27" s="38">
        <v>558.70000000000005</v>
      </c>
      <c r="C27" s="3">
        <v>150</v>
      </c>
      <c r="D27" s="3">
        <v>146</v>
      </c>
      <c r="E27" s="47">
        <f t="shared" si="0"/>
        <v>3.8267123287671234</v>
      </c>
      <c r="F27" s="54">
        <f t="shared" si="1"/>
        <v>0.15944634703196348</v>
      </c>
    </row>
    <row r="28" spans="1:6" x14ac:dyDescent="0.25">
      <c r="A28" s="51">
        <v>45692.999305555553</v>
      </c>
      <c r="B28" s="38">
        <v>648.29999999999995</v>
      </c>
      <c r="C28" s="3">
        <v>150</v>
      </c>
      <c r="D28" s="3">
        <v>146</v>
      </c>
      <c r="E28" s="47">
        <f t="shared" si="0"/>
        <v>4.440410958904109</v>
      </c>
      <c r="F28" s="54">
        <f t="shared" si="1"/>
        <v>0.18501712328767123</v>
      </c>
    </row>
    <row r="29" spans="1:6" x14ac:dyDescent="0.25">
      <c r="A29" s="51">
        <v>45693.999305555553</v>
      </c>
      <c r="B29" s="38">
        <v>771.3</v>
      </c>
      <c r="C29" s="3">
        <v>150</v>
      </c>
      <c r="D29" s="3">
        <v>146</v>
      </c>
      <c r="E29" s="47">
        <f t="shared" si="0"/>
        <v>5.2828767123287665</v>
      </c>
      <c r="F29" s="54">
        <f t="shared" si="1"/>
        <v>0.22011986301369862</v>
      </c>
    </row>
    <row r="30" spans="1:6" x14ac:dyDescent="0.25">
      <c r="A30" s="51">
        <v>45694.999305555553</v>
      </c>
      <c r="B30" s="38">
        <v>811.5</v>
      </c>
      <c r="C30" s="3">
        <v>150</v>
      </c>
      <c r="D30" s="3">
        <v>146</v>
      </c>
      <c r="E30" s="47">
        <f t="shared" si="0"/>
        <v>5.5582191780821919</v>
      </c>
      <c r="F30" s="54">
        <f t="shared" si="1"/>
        <v>0.23159246575342465</v>
      </c>
    </row>
    <row r="31" spans="1:6" x14ac:dyDescent="0.25">
      <c r="A31" s="51">
        <v>45695.999305555553</v>
      </c>
      <c r="B31" s="38">
        <v>735.8</v>
      </c>
      <c r="C31" s="3">
        <v>150</v>
      </c>
      <c r="D31" s="3">
        <v>146</v>
      </c>
      <c r="E31" s="47">
        <f t="shared" si="0"/>
        <v>5.0397260273972604</v>
      </c>
      <c r="F31" s="54">
        <f t="shared" si="1"/>
        <v>0.20998858447488583</v>
      </c>
    </row>
    <row r="32" spans="1:6" x14ac:dyDescent="0.25">
      <c r="A32" s="51">
        <v>45696.999305555553</v>
      </c>
      <c r="B32" s="38">
        <v>521.79999999999995</v>
      </c>
      <c r="C32" s="3">
        <v>150</v>
      </c>
      <c r="D32" s="3">
        <v>146</v>
      </c>
      <c r="E32" s="47">
        <f t="shared" si="0"/>
        <v>3.5739726027397256</v>
      </c>
      <c r="F32" s="54">
        <f t="shared" si="1"/>
        <v>0.14891552511415523</v>
      </c>
    </row>
    <row r="33" spans="1:6" x14ac:dyDescent="0.25">
      <c r="A33" s="51">
        <v>45697.999305555553</v>
      </c>
      <c r="B33" s="38">
        <v>566.5</v>
      </c>
      <c r="C33" s="3">
        <v>150</v>
      </c>
      <c r="D33" s="3">
        <v>146</v>
      </c>
      <c r="E33" s="47">
        <f t="shared" si="0"/>
        <v>3.8801369863013697</v>
      </c>
      <c r="F33" s="54">
        <f t="shared" si="1"/>
        <v>0.16167237442922375</v>
      </c>
    </row>
    <row r="34" spans="1:6" x14ac:dyDescent="0.25">
      <c r="A34" s="51">
        <v>45698.999305555553</v>
      </c>
      <c r="B34" s="38">
        <v>512.4</v>
      </c>
      <c r="C34" s="3">
        <v>150</v>
      </c>
      <c r="D34" s="3">
        <v>146</v>
      </c>
      <c r="E34" s="47">
        <f t="shared" si="0"/>
        <v>3.5095890410958903</v>
      </c>
      <c r="F34" s="54">
        <f t="shared" si="1"/>
        <v>0.14623287671232876</v>
      </c>
    </row>
    <row r="35" spans="1:6" x14ac:dyDescent="0.25">
      <c r="A35" s="51">
        <v>45699.999305555553</v>
      </c>
      <c r="B35" s="38">
        <v>722.8</v>
      </c>
      <c r="C35" s="3">
        <v>150</v>
      </c>
      <c r="D35" s="3">
        <v>146</v>
      </c>
      <c r="E35" s="47">
        <f t="shared" si="0"/>
        <v>4.9506849315068493</v>
      </c>
      <c r="F35" s="54">
        <f t="shared" si="1"/>
        <v>0.20627853881278538</v>
      </c>
    </row>
    <row r="36" spans="1:6" x14ac:dyDescent="0.25">
      <c r="A36" s="51">
        <v>45700.999305555553</v>
      </c>
      <c r="B36" s="38">
        <v>652.5</v>
      </c>
      <c r="C36" s="3">
        <v>150</v>
      </c>
      <c r="D36" s="3">
        <v>146</v>
      </c>
      <c r="E36" s="47">
        <f t="shared" si="0"/>
        <v>4.4691780821917808</v>
      </c>
      <c r="F36" s="54">
        <f t="shared" si="1"/>
        <v>0.18621575342465754</v>
      </c>
    </row>
    <row r="37" spans="1:6" x14ac:dyDescent="0.25">
      <c r="A37" s="51">
        <v>45701.999305555553</v>
      </c>
      <c r="B37" s="38">
        <v>559.79999999999995</v>
      </c>
      <c r="C37" s="3">
        <v>150</v>
      </c>
      <c r="D37" s="3">
        <v>146</v>
      </c>
      <c r="E37" s="47">
        <f t="shared" si="0"/>
        <v>3.8342465753424655</v>
      </c>
      <c r="F37" s="54">
        <f t="shared" si="1"/>
        <v>0.15976027397260273</v>
      </c>
    </row>
    <row r="38" spans="1:6" x14ac:dyDescent="0.25">
      <c r="A38" s="51">
        <v>45702.999305555553</v>
      </c>
      <c r="B38" s="38">
        <v>775.7</v>
      </c>
      <c r="C38" s="3">
        <v>150</v>
      </c>
      <c r="D38" s="3">
        <v>146</v>
      </c>
      <c r="E38" s="47">
        <f t="shared" si="0"/>
        <v>5.3130136986301375</v>
      </c>
      <c r="F38" s="54">
        <f t="shared" si="1"/>
        <v>0.22137557077625572</v>
      </c>
    </row>
    <row r="39" spans="1:6" x14ac:dyDescent="0.25">
      <c r="A39" s="51">
        <v>45703.999305555553</v>
      </c>
      <c r="B39" s="38">
        <v>720.6</v>
      </c>
      <c r="C39" s="3">
        <v>150</v>
      </c>
      <c r="D39" s="3">
        <v>146</v>
      </c>
      <c r="E39" s="47">
        <f t="shared" si="0"/>
        <v>4.9356164383561643</v>
      </c>
      <c r="F39" s="54">
        <f t="shared" si="1"/>
        <v>0.20565068493150684</v>
      </c>
    </row>
    <row r="40" spans="1:6" x14ac:dyDescent="0.25">
      <c r="A40" s="51">
        <v>45704.999305555553</v>
      </c>
      <c r="B40" s="38">
        <v>783.6</v>
      </c>
      <c r="C40" s="3">
        <v>150</v>
      </c>
      <c r="D40" s="3">
        <v>146</v>
      </c>
      <c r="E40" s="47">
        <f t="shared" si="0"/>
        <v>5.3671232876712329</v>
      </c>
      <c r="F40" s="54">
        <f t="shared" si="1"/>
        <v>0.22363013698630138</v>
      </c>
    </row>
    <row r="41" spans="1:6" x14ac:dyDescent="0.25">
      <c r="A41" s="51">
        <v>45705.999305555553</v>
      </c>
      <c r="B41" s="38">
        <v>784.2</v>
      </c>
      <c r="C41" s="3">
        <v>150</v>
      </c>
      <c r="D41" s="3">
        <v>146</v>
      </c>
      <c r="E41" s="47">
        <f t="shared" si="0"/>
        <v>5.3712328767123294</v>
      </c>
      <c r="F41" s="54">
        <f t="shared" si="1"/>
        <v>0.22380136986301372</v>
      </c>
    </row>
    <row r="42" spans="1:6" x14ac:dyDescent="0.25">
      <c r="A42" s="51">
        <v>45706.999305555553</v>
      </c>
      <c r="B42" s="38">
        <v>682.1</v>
      </c>
      <c r="C42" s="3">
        <v>150</v>
      </c>
      <c r="D42" s="3">
        <v>146</v>
      </c>
      <c r="E42" s="47">
        <f t="shared" si="0"/>
        <v>4.6719178082191783</v>
      </c>
      <c r="F42" s="54">
        <f t="shared" si="1"/>
        <v>0.19466324200913243</v>
      </c>
    </row>
    <row r="43" spans="1:6" x14ac:dyDescent="0.25">
      <c r="A43" s="51">
        <v>45707.999305555553</v>
      </c>
      <c r="B43" s="38">
        <v>738.1</v>
      </c>
      <c r="C43" s="3">
        <v>150</v>
      </c>
      <c r="D43" s="3">
        <v>146</v>
      </c>
      <c r="E43" s="47">
        <f t="shared" si="0"/>
        <v>5.0554794520547945</v>
      </c>
      <c r="F43" s="54">
        <f t="shared" si="1"/>
        <v>0.21064497716894978</v>
      </c>
    </row>
    <row r="44" spans="1:6" x14ac:dyDescent="0.25">
      <c r="A44" s="51">
        <v>45708.999305555553</v>
      </c>
      <c r="B44" s="38">
        <v>699.1</v>
      </c>
      <c r="C44" s="3">
        <v>150</v>
      </c>
      <c r="D44" s="3">
        <v>146</v>
      </c>
      <c r="E44" s="47">
        <f t="shared" si="0"/>
        <v>4.7883561643835622</v>
      </c>
      <c r="F44" s="54">
        <f t="shared" si="1"/>
        <v>0.1995148401826484</v>
      </c>
    </row>
    <row r="45" spans="1:6" x14ac:dyDescent="0.25">
      <c r="A45" s="51">
        <v>45709.999305555553</v>
      </c>
      <c r="B45" s="38">
        <v>668.9</v>
      </c>
      <c r="C45" s="3">
        <v>150</v>
      </c>
      <c r="D45" s="3">
        <v>146</v>
      </c>
      <c r="E45" s="47">
        <f t="shared" si="0"/>
        <v>4.5815068493150681</v>
      </c>
      <c r="F45" s="54">
        <f t="shared" si="1"/>
        <v>0.19089611872146117</v>
      </c>
    </row>
    <row r="46" spans="1:6" x14ac:dyDescent="0.25">
      <c r="A46" s="51">
        <v>45710.999305555553</v>
      </c>
      <c r="B46" s="38">
        <v>676.3</v>
      </c>
      <c r="C46" s="3">
        <v>150</v>
      </c>
      <c r="D46" s="3">
        <v>146</v>
      </c>
      <c r="E46" s="47">
        <f t="shared" si="0"/>
        <v>4.6321917808219171</v>
      </c>
      <c r="F46" s="54">
        <f t="shared" si="1"/>
        <v>0.19300799086757989</v>
      </c>
    </row>
    <row r="47" spans="1:6" x14ac:dyDescent="0.25">
      <c r="A47" s="51">
        <v>45711.999305555553</v>
      </c>
      <c r="B47" s="38">
        <v>579</v>
      </c>
      <c r="C47" s="3">
        <v>150</v>
      </c>
      <c r="D47" s="3">
        <v>146</v>
      </c>
      <c r="E47" s="47">
        <f t="shared" si="0"/>
        <v>3.9657534246575343</v>
      </c>
      <c r="F47" s="54">
        <f t="shared" si="1"/>
        <v>0.16523972602739725</v>
      </c>
    </row>
    <row r="48" spans="1:6" x14ac:dyDescent="0.25">
      <c r="A48" s="51">
        <v>45712.999305555553</v>
      </c>
      <c r="B48" s="38">
        <v>692</v>
      </c>
      <c r="C48" s="3">
        <v>150</v>
      </c>
      <c r="D48" s="3">
        <v>146</v>
      </c>
      <c r="E48" s="47">
        <f t="shared" si="0"/>
        <v>4.7397260273972606</v>
      </c>
      <c r="F48" s="54">
        <f t="shared" si="1"/>
        <v>0.19748858447488585</v>
      </c>
    </row>
    <row r="49" spans="1:6" x14ac:dyDescent="0.25">
      <c r="A49" s="51">
        <v>45713.999305555553</v>
      </c>
      <c r="B49" s="38">
        <v>585</v>
      </c>
      <c r="C49" s="3">
        <v>150</v>
      </c>
      <c r="D49" s="3">
        <v>146</v>
      </c>
      <c r="E49" s="47">
        <f t="shared" si="0"/>
        <v>4.006849315068493</v>
      </c>
      <c r="F49" s="54">
        <f t="shared" si="1"/>
        <v>0.16695205479452055</v>
      </c>
    </row>
    <row r="50" spans="1:6" x14ac:dyDescent="0.25">
      <c r="A50" s="51">
        <v>45714.999305555553</v>
      </c>
      <c r="B50" s="38">
        <v>707.9</v>
      </c>
      <c r="C50" s="3">
        <v>150</v>
      </c>
      <c r="D50" s="3">
        <v>146</v>
      </c>
      <c r="E50" s="47">
        <f t="shared" si="0"/>
        <v>4.8486301369863014</v>
      </c>
      <c r="F50" s="54">
        <f t="shared" si="1"/>
        <v>0.20202625570776256</v>
      </c>
    </row>
    <row r="51" spans="1:6" x14ac:dyDescent="0.25">
      <c r="A51" s="51">
        <v>45715.999305555553</v>
      </c>
      <c r="B51" s="38">
        <v>649.70000000000005</v>
      </c>
      <c r="C51" s="3">
        <v>150</v>
      </c>
      <c r="D51" s="3">
        <v>146</v>
      </c>
      <c r="E51" s="47">
        <f t="shared" si="0"/>
        <v>4.45</v>
      </c>
      <c r="F51" s="54">
        <f t="shared" si="1"/>
        <v>0.18541666666666667</v>
      </c>
    </row>
    <row r="52" spans="1:6" x14ac:dyDescent="0.25">
      <c r="A52" s="51">
        <v>45716.999305555553</v>
      </c>
      <c r="B52" s="38">
        <v>618.6</v>
      </c>
      <c r="C52" s="3">
        <v>150</v>
      </c>
      <c r="D52" s="3">
        <v>146</v>
      </c>
      <c r="E52" s="47">
        <f t="shared" si="0"/>
        <v>4.2369863013698632</v>
      </c>
      <c r="F52" s="54">
        <f t="shared" si="1"/>
        <v>0.17654109589041098</v>
      </c>
    </row>
    <row r="53" spans="1:6" x14ac:dyDescent="0.25">
      <c r="A53" s="51">
        <v>45717.999305555553</v>
      </c>
      <c r="B53" s="38">
        <v>542.20000000000005</v>
      </c>
      <c r="C53" s="3">
        <v>150</v>
      </c>
      <c r="D53" s="3">
        <v>146</v>
      </c>
      <c r="E53" s="47">
        <f t="shared" si="0"/>
        <v>3.7136986301369865</v>
      </c>
      <c r="F53" s="54">
        <f t="shared" si="1"/>
        <v>0.15473744292237443</v>
      </c>
    </row>
    <row r="54" spans="1:6" x14ac:dyDescent="0.25">
      <c r="A54" s="51">
        <v>45718.999305555553</v>
      </c>
      <c r="B54" s="38">
        <v>491.4</v>
      </c>
      <c r="C54" s="3">
        <v>150</v>
      </c>
      <c r="D54" s="3">
        <v>146</v>
      </c>
      <c r="E54" s="47">
        <f t="shared" si="0"/>
        <v>3.3657534246575342</v>
      </c>
      <c r="F54" s="54">
        <f t="shared" si="1"/>
        <v>0.14023972602739726</v>
      </c>
    </row>
    <row r="55" spans="1:6" x14ac:dyDescent="0.25">
      <c r="A55" s="51">
        <v>45719.999305555553</v>
      </c>
      <c r="B55" s="38">
        <v>707.8</v>
      </c>
      <c r="C55" s="3">
        <v>150</v>
      </c>
      <c r="D55" s="3">
        <v>146</v>
      </c>
      <c r="E55" s="47">
        <f t="shared" si="0"/>
        <v>4.8479452054794514</v>
      </c>
      <c r="F55" s="54">
        <f t="shared" si="1"/>
        <v>0.20199771689497717</v>
      </c>
    </row>
    <row r="56" spans="1:6" x14ac:dyDescent="0.25">
      <c r="A56" s="51">
        <v>45720.999305555553</v>
      </c>
      <c r="B56" s="38">
        <v>550.9</v>
      </c>
      <c r="C56" s="3">
        <v>150</v>
      </c>
      <c r="D56" s="3">
        <v>146</v>
      </c>
      <c r="E56" s="47">
        <f t="shared" si="0"/>
        <v>3.7732876712328767</v>
      </c>
      <c r="F56" s="54">
        <f t="shared" si="1"/>
        <v>0.15722031963470318</v>
      </c>
    </row>
    <row r="57" spans="1:6" x14ac:dyDescent="0.25">
      <c r="A57" s="51">
        <v>45721.999305555553</v>
      </c>
      <c r="B57" s="38">
        <v>710.3</v>
      </c>
      <c r="C57" s="3">
        <v>150</v>
      </c>
      <c r="D57" s="3">
        <v>146</v>
      </c>
      <c r="E57" s="47">
        <f t="shared" si="0"/>
        <v>4.8650684931506847</v>
      </c>
      <c r="F57" s="54">
        <f t="shared" si="1"/>
        <v>0.20271118721461187</v>
      </c>
    </row>
    <row r="58" spans="1:6" x14ac:dyDescent="0.25">
      <c r="A58" s="51">
        <v>45722.999305555553</v>
      </c>
      <c r="B58" s="38">
        <v>675.9</v>
      </c>
      <c r="C58" s="3">
        <v>150</v>
      </c>
      <c r="D58" s="3">
        <v>146</v>
      </c>
      <c r="E58" s="47">
        <f t="shared" si="0"/>
        <v>4.6294520547945206</v>
      </c>
      <c r="F58" s="54">
        <f t="shared" si="1"/>
        <v>0.19289383561643836</v>
      </c>
    </row>
    <row r="59" spans="1:6" x14ac:dyDescent="0.25">
      <c r="A59" s="51">
        <v>45723.999305555553</v>
      </c>
      <c r="B59" s="38">
        <v>641.1</v>
      </c>
      <c r="C59" s="3">
        <v>150</v>
      </c>
      <c r="D59" s="3">
        <v>146</v>
      </c>
      <c r="E59" s="47">
        <f t="shared" si="0"/>
        <v>4.3910958904109592</v>
      </c>
      <c r="F59" s="54">
        <f t="shared" si="1"/>
        <v>0.18296232876712329</v>
      </c>
    </row>
    <row r="60" spans="1:6" x14ac:dyDescent="0.25">
      <c r="A60" s="51">
        <v>45724.999305555553</v>
      </c>
      <c r="B60" s="38">
        <v>671.6</v>
      </c>
      <c r="C60" s="3">
        <v>150</v>
      </c>
      <c r="D60" s="3">
        <v>146</v>
      </c>
      <c r="E60" s="47">
        <f t="shared" si="0"/>
        <v>4.6000000000000005</v>
      </c>
      <c r="F60" s="54">
        <f t="shared" si="1"/>
        <v>0.19166666666666668</v>
      </c>
    </row>
    <row r="61" spans="1:6" x14ac:dyDescent="0.25">
      <c r="A61" s="51">
        <v>45725.999305555553</v>
      </c>
      <c r="B61" s="38">
        <v>713.8</v>
      </c>
      <c r="C61" s="3">
        <v>150</v>
      </c>
      <c r="D61" s="3">
        <v>146</v>
      </c>
      <c r="E61" s="47">
        <f t="shared" si="0"/>
        <v>4.8890410958904109</v>
      </c>
      <c r="F61" s="54">
        <f t="shared" si="1"/>
        <v>0.20371004566210044</v>
      </c>
    </row>
    <row r="62" spans="1:6" x14ac:dyDescent="0.25">
      <c r="A62" s="51">
        <v>45726.999305555553</v>
      </c>
      <c r="B62" s="38">
        <v>702.2</v>
      </c>
      <c r="C62" s="3">
        <v>150</v>
      </c>
      <c r="D62" s="3">
        <v>146</v>
      </c>
      <c r="E62" s="47">
        <f t="shared" si="0"/>
        <v>4.809589041095891</v>
      </c>
      <c r="F62" s="54">
        <f t="shared" si="1"/>
        <v>0.20039954337899546</v>
      </c>
    </row>
    <row r="63" spans="1:6" x14ac:dyDescent="0.25">
      <c r="A63" s="51">
        <v>45727.999305555553</v>
      </c>
      <c r="B63" s="38">
        <v>668.1</v>
      </c>
      <c r="C63" s="3">
        <v>150</v>
      </c>
      <c r="D63" s="3">
        <v>146</v>
      </c>
      <c r="E63" s="47">
        <f t="shared" si="0"/>
        <v>4.5760273972602743</v>
      </c>
      <c r="F63" s="54">
        <f t="shared" si="1"/>
        <v>0.19066780821917809</v>
      </c>
    </row>
    <row r="64" spans="1:6" x14ac:dyDescent="0.25">
      <c r="A64" s="51">
        <v>45728.999305555553</v>
      </c>
      <c r="B64" s="38">
        <v>689.2</v>
      </c>
      <c r="C64" s="3">
        <v>150</v>
      </c>
      <c r="D64" s="3">
        <v>146</v>
      </c>
      <c r="E64" s="47">
        <f t="shared" si="0"/>
        <v>4.7205479452054799</v>
      </c>
      <c r="F64" s="54">
        <f t="shared" si="1"/>
        <v>0.19668949771689498</v>
      </c>
    </row>
    <row r="65" spans="1:6" x14ac:dyDescent="0.25">
      <c r="A65" s="51">
        <v>45729.999305555553</v>
      </c>
      <c r="B65" s="38">
        <v>633.29999999999995</v>
      </c>
      <c r="C65" s="3">
        <v>150</v>
      </c>
      <c r="D65" s="3">
        <v>146</v>
      </c>
      <c r="E65" s="47">
        <f t="shared" si="0"/>
        <v>4.337671232876712</v>
      </c>
      <c r="F65" s="54">
        <f t="shared" si="1"/>
        <v>0.18073630136986299</v>
      </c>
    </row>
    <row r="66" spans="1:6" x14ac:dyDescent="0.25">
      <c r="A66" s="51">
        <v>45730.999305555553</v>
      </c>
      <c r="B66" s="38">
        <v>586.79999999999995</v>
      </c>
      <c r="C66" s="3">
        <v>150</v>
      </c>
      <c r="D66" s="3">
        <v>146</v>
      </c>
      <c r="E66" s="47">
        <f t="shared" si="0"/>
        <v>4.0191780821917806</v>
      </c>
      <c r="F66" s="54">
        <f t="shared" si="1"/>
        <v>0.16746575342465753</v>
      </c>
    </row>
    <row r="67" spans="1:6" x14ac:dyDescent="0.25">
      <c r="A67" s="51">
        <v>45731.999305555553</v>
      </c>
      <c r="B67" s="38">
        <v>573.70000000000005</v>
      </c>
      <c r="C67" s="3">
        <v>150</v>
      </c>
      <c r="D67" s="3">
        <v>146</v>
      </c>
      <c r="E67" s="47">
        <f t="shared" ref="E67:E113" si="3">B67/D67</f>
        <v>3.9294520547945209</v>
      </c>
      <c r="F67" s="54">
        <f t="shared" ref="F67:F113" si="4">B67/(24*D67)</f>
        <v>0.16372716894977171</v>
      </c>
    </row>
    <row r="68" spans="1:6" x14ac:dyDescent="0.25">
      <c r="A68" s="51">
        <v>45732.999305555553</v>
      </c>
      <c r="B68" s="38">
        <v>528.1</v>
      </c>
      <c r="C68" s="3">
        <v>150</v>
      </c>
      <c r="D68" s="3">
        <v>146</v>
      </c>
      <c r="E68" s="47">
        <f t="shared" si="3"/>
        <v>3.6171232876712329</v>
      </c>
      <c r="F68" s="54">
        <f t="shared" si="4"/>
        <v>0.1507134703196347</v>
      </c>
    </row>
    <row r="69" spans="1:6" x14ac:dyDescent="0.25">
      <c r="A69" s="51">
        <v>45733.999305555553</v>
      </c>
      <c r="B69" s="38">
        <v>476.1</v>
      </c>
      <c r="C69" s="3">
        <v>150</v>
      </c>
      <c r="D69" s="3">
        <v>146</v>
      </c>
      <c r="E69" s="47">
        <f t="shared" si="3"/>
        <v>3.260958904109589</v>
      </c>
      <c r="F69" s="54">
        <f t="shared" si="4"/>
        <v>0.13587328767123288</v>
      </c>
    </row>
    <row r="70" spans="1:6" x14ac:dyDescent="0.25">
      <c r="A70" s="51">
        <v>45734.999305555553</v>
      </c>
      <c r="B70" s="38">
        <v>571.70000000000005</v>
      </c>
      <c r="C70" s="3">
        <v>150</v>
      </c>
      <c r="D70" s="3">
        <v>146</v>
      </c>
      <c r="E70" s="47">
        <f t="shared" si="3"/>
        <v>3.9157534246575345</v>
      </c>
      <c r="F70" s="54">
        <f t="shared" si="4"/>
        <v>0.16315639269406393</v>
      </c>
    </row>
    <row r="71" spans="1:6" x14ac:dyDescent="0.25">
      <c r="A71" s="51">
        <v>45735.999305555553</v>
      </c>
      <c r="B71" s="38">
        <v>400.3</v>
      </c>
      <c r="C71" s="3">
        <v>150</v>
      </c>
      <c r="D71" s="3">
        <v>146</v>
      </c>
      <c r="E71" s="47">
        <f t="shared" si="3"/>
        <v>2.7417808219178084</v>
      </c>
      <c r="F71" s="54">
        <f t="shared" si="4"/>
        <v>0.11424086757990867</v>
      </c>
    </row>
    <row r="72" spans="1:6" x14ac:dyDescent="0.25">
      <c r="A72" s="51">
        <v>45736.999305555553</v>
      </c>
      <c r="B72" s="38">
        <v>554.70000000000005</v>
      </c>
      <c r="C72" s="3">
        <v>150</v>
      </c>
      <c r="D72" s="3">
        <v>146</v>
      </c>
      <c r="E72" s="47">
        <f t="shared" si="3"/>
        <v>3.7993150684931511</v>
      </c>
      <c r="F72" s="54">
        <f t="shared" si="4"/>
        <v>0.15830479452054796</v>
      </c>
    </row>
    <row r="73" spans="1:6" x14ac:dyDescent="0.25">
      <c r="A73" s="51">
        <v>45737.999305555553</v>
      </c>
      <c r="B73" s="38">
        <v>370.7</v>
      </c>
      <c r="C73" s="3">
        <v>150</v>
      </c>
      <c r="D73" s="3">
        <v>146</v>
      </c>
      <c r="E73" s="47">
        <f t="shared" si="3"/>
        <v>2.5390410958904108</v>
      </c>
      <c r="F73" s="54">
        <f t="shared" si="4"/>
        <v>0.10579337899543378</v>
      </c>
    </row>
    <row r="74" spans="1:6" x14ac:dyDescent="0.25">
      <c r="A74" s="51">
        <v>45738.999305555553</v>
      </c>
      <c r="B74" s="38">
        <v>524.29999999999995</v>
      </c>
      <c r="C74" s="3">
        <v>150</v>
      </c>
      <c r="D74" s="3">
        <v>146</v>
      </c>
      <c r="E74" s="47">
        <f t="shared" si="3"/>
        <v>3.5910958904109584</v>
      </c>
      <c r="F74" s="54">
        <f t="shared" si="4"/>
        <v>0.14962899543378994</v>
      </c>
    </row>
    <row r="75" spans="1:6" x14ac:dyDescent="0.25">
      <c r="A75" s="51">
        <v>45739.999305555553</v>
      </c>
      <c r="B75" s="38">
        <v>506.5</v>
      </c>
      <c r="C75" s="3">
        <v>150</v>
      </c>
      <c r="D75" s="3">
        <v>146</v>
      </c>
      <c r="E75" s="47">
        <f t="shared" si="3"/>
        <v>3.4691780821917808</v>
      </c>
      <c r="F75" s="54">
        <f t="shared" si="4"/>
        <v>0.14454908675799086</v>
      </c>
    </row>
    <row r="76" spans="1:6" x14ac:dyDescent="0.25">
      <c r="A76" s="51">
        <v>45740.999305555553</v>
      </c>
      <c r="B76" s="38">
        <v>244.1</v>
      </c>
      <c r="C76" s="3">
        <v>150</v>
      </c>
      <c r="D76" s="3">
        <v>146</v>
      </c>
      <c r="E76" s="47">
        <f t="shared" si="3"/>
        <v>1.6719178082191781</v>
      </c>
      <c r="F76" s="54">
        <f t="shared" si="4"/>
        <v>6.9663242009132417E-2</v>
      </c>
    </row>
    <row r="77" spans="1:6" x14ac:dyDescent="0.25">
      <c r="A77" s="51">
        <v>45741.999305555553</v>
      </c>
      <c r="B77" s="38">
        <v>542.1</v>
      </c>
      <c r="C77" s="3">
        <v>150</v>
      </c>
      <c r="D77" s="3">
        <v>146</v>
      </c>
      <c r="E77" s="47">
        <f t="shared" si="3"/>
        <v>3.713013698630137</v>
      </c>
      <c r="F77" s="54">
        <f t="shared" si="4"/>
        <v>0.15470890410958904</v>
      </c>
    </row>
    <row r="78" spans="1:6" x14ac:dyDescent="0.25">
      <c r="A78" s="51">
        <v>45742.999305555553</v>
      </c>
      <c r="B78" s="38">
        <v>466.8</v>
      </c>
      <c r="C78" s="3">
        <v>150</v>
      </c>
      <c r="D78" s="3">
        <v>146</v>
      </c>
      <c r="E78" s="47">
        <f t="shared" si="3"/>
        <v>3.1972602739726028</v>
      </c>
      <c r="F78" s="54">
        <f t="shared" si="4"/>
        <v>0.13321917808219177</v>
      </c>
    </row>
    <row r="79" spans="1:6" x14ac:dyDescent="0.25">
      <c r="A79" s="51">
        <v>45743.999305555553</v>
      </c>
      <c r="B79" s="38">
        <v>483.2</v>
      </c>
      <c r="C79" s="3">
        <v>150</v>
      </c>
      <c r="D79" s="3">
        <v>146</v>
      </c>
      <c r="E79" s="47">
        <f t="shared" si="3"/>
        <v>3.3095890410958901</v>
      </c>
      <c r="F79" s="54">
        <f t="shared" si="4"/>
        <v>0.13789954337899543</v>
      </c>
    </row>
    <row r="80" spans="1:6" x14ac:dyDescent="0.25">
      <c r="A80" s="51">
        <v>45744.999305555553</v>
      </c>
      <c r="B80" s="38">
        <v>561.9</v>
      </c>
      <c r="C80" s="3">
        <v>150</v>
      </c>
      <c r="D80" s="3">
        <v>146</v>
      </c>
      <c r="E80" s="47">
        <f t="shared" si="3"/>
        <v>3.8486301369863014</v>
      </c>
      <c r="F80" s="54">
        <f t="shared" si="4"/>
        <v>0.16035958904109587</v>
      </c>
    </row>
    <row r="81" spans="1:6" x14ac:dyDescent="0.25">
      <c r="A81" s="51">
        <v>45745.999305555553</v>
      </c>
      <c r="B81" s="38">
        <v>617.6</v>
      </c>
      <c r="C81" s="3">
        <v>150</v>
      </c>
      <c r="D81" s="3">
        <v>146</v>
      </c>
      <c r="E81" s="47">
        <f t="shared" si="3"/>
        <v>4.2301369863013702</v>
      </c>
      <c r="F81" s="54">
        <f t="shared" si="4"/>
        <v>0.17625570776255708</v>
      </c>
    </row>
    <row r="82" spans="1:6" x14ac:dyDescent="0.25">
      <c r="A82" s="51">
        <v>45746.999305555553</v>
      </c>
      <c r="B82" s="38">
        <v>468.1</v>
      </c>
      <c r="C82" s="3">
        <v>150</v>
      </c>
      <c r="D82" s="3">
        <v>146</v>
      </c>
      <c r="E82" s="47">
        <f t="shared" si="3"/>
        <v>3.206164383561644</v>
      </c>
      <c r="F82" s="54">
        <f t="shared" si="4"/>
        <v>0.13359018264840183</v>
      </c>
    </row>
    <row r="83" spans="1:6" x14ac:dyDescent="0.25">
      <c r="A83" s="51">
        <v>45747.999305555553</v>
      </c>
      <c r="B83" s="38">
        <v>448.1</v>
      </c>
      <c r="C83" s="3">
        <v>150</v>
      </c>
      <c r="D83" s="3">
        <v>146</v>
      </c>
      <c r="E83" s="47">
        <f t="shared" si="3"/>
        <v>3.0691780821917809</v>
      </c>
      <c r="F83" s="54">
        <f t="shared" si="4"/>
        <v>0.12788242009132419</v>
      </c>
    </row>
    <row r="84" spans="1:6" x14ac:dyDescent="0.25">
      <c r="A84" s="51">
        <v>45748.999305555553</v>
      </c>
      <c r="B84" s="38">
        <v>553.5</v>
      </c>
      <c r="C84" s="3">
        <v>150</v>
      </c>
      <c r="D84" s="3">
        <v>146</v>
      </c>
      <c r="E84" s="47">
        <f t="shared" si="3"/>
        <v>3.7910958904109591</v>
      </c>
      <c r="F84" s="54">
        <f t="shared" si="4"/>
        <v>0.15796232876712329</v>
      </c>
    </row>
    <row r="85" spans="1:6" x14ac:dyDescent="0.25">
      <c r="A85" s="51">
        <v>45749.999305555553</v>
      </c>
      <c r="B85" s="38">
        <v>510.6</v>
      </c>
      <c r="C85" s="3">
        <v>150</v>
      </c>
      <c r="D85" s="3">
        <v>146</v>
      </c>
      <c r="E85" s="47">
        <f t="shared" si="3"/>
        <v>3.4972602739726031</v>
      </c>
      <c r="F85" s="54">
        <f t="shared" si="4"/>
        <v>0.14571917808219179</v>
      </c>
    </row>
    <row r="86" spans="1:6" x14ac:dyDescent="0.25">
      <c r="A86" s="51">
        <v>45750.999305555553</v>
      </c>
      <c r="B86" s="38">
        <v>511.6</v>
      </c>
      <c r="C86" s="3">
        <v>150</v>
      </c>
      <c r="D86" s="3">
        <v>146</v>
      </c>
      <c r="E86" s="47">
        <f t="shared" si="3"/>
        <v>3.504109589041096</v>
      </c>
      <c r="F86" s="54">
        <f t="shared" si="4"/>
        <v>0.14600456621004568</v>
      </c>
    </row>
    <row r="87" spans="1:6" x14ac:dyDescent="0.25">
      <c r="A87" s="51">
        <v>45751.999305555553</v>
      </c>
      <c r="B87" s="38">
        <v>551.29999999999995</v>
      </c>
      <c r="C87" s="3">
        <v>150</v>
      </c>
      <c r="D87" s="3">
        <v>146</v>
      </c>
      <c r="E87" s="47">
        <f t="shared" si="3"/>
        <v>3.7760273972602736</v>
      </c>
      <c r="F87" s="54">
        <f t="shared" si="4"/>
        <v>0.15733447488584473</v>
      </c>
    </row>
    <row r="88" spans="1:6" x14ac:dyDescent="0.25">
      <c r="A88" s="51">
        <v>45752.999305555553</v>
      </c>
      <c r="B88" s="38">
        <v>363.6</v>
      </c>
      <c r="C88" s="3">
        <v>150</v>
      </c>
      <c r="D88" s="3">
        <v>146</v>
      </c>
      <c r="E88" s="47">
        <f t="shared" si="3"/>
        <v>2.4904109589041097</v>
      </c>
      <c r="F88" s="54">
        <f t="shared" si="4"/>
        <v>0.10376712328767124</v>
      </c>
    </row>
    <row r="89" spans="1:6" x14ac:dyDescent="0.25">
      <c r="A89" s="51">
        <v>45753.999305555553</v>
      </c>
      <c r="B89" s="38">
        <v>537.6</v>
      </c>
      <c r="C89" s="3">
        <v>150</v>
      </c>
      <c r="D89" s="3">
        <v>146</v>
      </c>
      <c r="E89" s="47">
        <f t="shared" si="3"/>
        <v>3.6821917808219178</v>
      </c>
      <c r="F89" s="54">
        <f t="shared" si="4"/>
        <v>0.15342465753424658</v>
      </c>
    </row>
    <row r="90" spans="1:6" x14ac:dyDescent="0.25">
      <c r="A90" s="51">
        <v>45754.999305555553</v>
      </c>
      <c r="B90" s="38">
        <v>437.9</v>
      </c>
      <c r="C90" s="3">
        <v>150</v>
      </c>
      <c r="D90" s="3">
        <v>146</v>
      </c>
      <c r="E90" s="47">
        <f t="shared" si="3"/>
        <v>2.9993150684931504</v>
      </c>
      <c r="F90" s="54">
        <f t="shared" si="4"/>
        <v>0.12497146118721461</v>
      </c>
    </row>
    <row r="91" spans="1:6" x14ac:dyDescent="0.25">
      <c r="A91" s="51">
        <v>45755.999305555553</v>
      </c>
      <c r="B91" s="38">
        <v>535.70000000000005</v>
      </c>
      <c r="C91" s="3">
        <v>150</v>
      </c>
      <c r="D91" s="3">
        <v>146</v>
      </c>
      <c r="E91" s="47">
        <f t="shared" si="3"/>
        <v>3.669178082191781</v>
      </c>
      <c r="F91" s="54">
        <f t="shared" si="4"/>
        <v>0.15288242009132422</v>
      </c>
    </row>
    <row r="92" spans="1:6" x14ac:dyDescent="0.25">
      <c r="A92" s="51">
        <v>45756.999305555553</v>
      </c>
      <c r="B92" s="38">
        <v>612.70000000000005</v>
      </c>
      <c r="C92" s="3">
        <v>150</v>
      </c>
      <c r="D92" s="3">
        <v>146</v>
      </c>
      <c r="E92" s="47">
        <f t="shared" si="3"/>
        <v>4.1965753424657537</v>
      </c>
      <c r="F92" s="54">
        <f t="shared" si="4"/>
        <v>0.17485730593607307</v>
      </c>
    </row>
    <row r="93" spans="1:6" x14ac:dyDescent="0.25">
      <c r="A93" s="51">
        <v>45757.999305555553</v>
      </c>
      <c r="B93" s="38">
        <v>506.9</v>
      </c>
      <c r="C93" s="3">
        <v>150</v>
      </c>
      <c r="D93" s="3">
        <v>146</v>
      </c>
      <c r="E93" s="47">
        <f t="shared" si="3"/>
        <v>3.4719178082191777</v>
      </c>
      <c r="F93" s="54">
        <f t="shared" si="4"/>
        <v>0.14466324200913241</v>
      </c>
    </row>
    <row r="94" spans="1:6" x14ac:dyDescent="0.25">
      <c r="A94" s="51">
        <v>45758.999305555553</v>
      </c>
      <c r="B94" s="38">
        <v>575.29999999999995</v>
      </c>
      <c r="C94" s="3">
        <v>150</v>
      </c>
      <c r="D94" s="3">
        <v>146</v>
      </c>
      <c r="E94" s="47">
        <f t="shared" si="3"/>
        <v>3.9404109589041094</v>
      </c>
      <c r="F94" s="54">
        <f t="shared" si="4"/>
        <v>0.16418378995433788</v>
      </c>
    </row>
    <row r="95" spans="1:6" x14ac:dyDescent="0.25">
      <c r="A95" s="51">
        <v>45759.999305555553</v>
      </c>
      <c r="B95" s="38">
        <v>576.79999999999995</v>
      </c>
      <c r="C95" s="3">
        <v>150</v>
      </c>
      <c r="D95" s="3">
        <v>146</v>
      </c>
      <c r="E95" s="47">
        <f t="shared" si="3"/>
        <v>3.9506849315068489</v>
      </c>
      <c r="F95" s="54">
        <f t="shared" si="4"/>
        <v>0.16461187214611872</v>
      </c>
    </row>
    <row r="96" spans="1:6" x14ac:dyDescent="0.25">
      <c r="A96" s="51">
        <v>45760.999305555553</v>
      </c>
      <c r="B96" s="38">
        <v>594.20000000000005</v>
      </c>
      <c r="C96" s="3">
        <v>150</v>
      </c>
      <c r="D96" s="3">
        <v>146</v>
      </c>
      <c r="E96" s="47">
        <f t="shared" si="3"/>
        <v>4.0698630136986305</v>
      </c>
      <c r="F96" s="54">
        <f t="shared" si="4"/>
        <v>0.16957762557077627</v>
      </c>
    </row>
    <row r="97" spans="1:6" x14ac:dyDescent="0.25">
      <c r="A97" s="51">
        <v>45761.999305555553</v>
      </c>
      <c r="B97" s="38">
        <v>315.10000000000002</v>
      </c>
      <c r="C97" s="3">
        <v>150</v>
      </c>
      <c r="D97" s="3">
        <v>146</v>
      </c>
      <c r="E97" s="47">
        <f t="shared" si="3"/>
        <v>2.158219178082192</v>
      </c>
      <c r="F97" s="54">
        <f t="shared" si="4"/>
        <v>8.9925799086758004E-2</v>
      </c>
    </row>
    <row r="98" spans="1:6" x14ac:dyDescent="0.25">
      <c r="A98" s="51">
        <v>45762.999305555553</v>
      </c>
      <c r="B98" s="38">
        <v>486</v>
      </c>
      <c r="C98" s="3">
        <v>150</v>
      </c>
      <c r="D98" s="3">
        <v>146</v>
      </c>
      <c r="E98" s="47">
        <f t="shared" si="3"/>
        <v>3.3287671232876712</v>
      </c>
      <c r="F98" s="54">
        <f t="shared" si="4"/>
        <v>0.1386986301369863</v>
      </c>
    </row>
    <row r="99" spans="1:6" x14ac:dyDescent="0.25">
      <c r="A99" s="51">
        <v>45763.999305555553</v>
      </c>
      <c r="B99" s="38">
        <v>116.9</v>
      </c>
      <c r="C99" s="3">
        <v>150</v>
      </c>
      <c r="D99" s="3">
        <v>146</v>
      </c>
      <c r="E99" s="47">
        <f t="shared" si="3"/>
        <v>0.80068493150684938</v>
      </c>
      <c r="F99" s="54">
        <f t="shared" si="4"/>
        <v>3.3361872146118722E-2</v>
      </c>
    </row>
    <row r="100" spans="1:6" x14ac:dyDescent="0.25">
      <c r="A100" s="51">
        <v>45764.999305555553</v>
      </c>
      <c r="B100" s="38">
        <v>446.1</v>
      </c>
      <c r="C100" s="3">
        <v>150</v>
      </c>
      <c r="D100" s="3">
        <v>146</v>
      </c>
      <c r="E100" s="47">
        <f t="shared" si="3"/>
        <v>3.0554794520547945</v>
      </c>
      <c r="F100" s="54">
        <f t="shared" si="4"/>
        <v>0.12731164383561644</v>
      </c>
    </row>
    <row r="101" spans="1:6" x14ac:dyDescent="0.25">
      <c r="A101" s="51">
        <v>45765.999305555553</v>
      </c>
      <c r="B101" s="38">
        <v>415.5</v>
      </c>
      <c r="C101" s="3">
        <v>150</v>
      </c>
      <c r="D101" s="3">
        <v>146</v>
      </c>
      <c r="E101" s="47">
        <f t="shared" si="3"/>
        <v>2.845890410958904</v>
      </c>
      <c r="F101" s="54">
        <f t="shared" si="4"/>
        <v>0.11857876712328767</v>
      </c>
    </row>
    <row r="102" spans="1:6" x14ac:dyDescent="0.25">
      <c r="A102" s="51">
        <v>45766.999305555553</v>
      </c>
      <c r="B102" s="38">
        <v>407.3</v>
      </c>
      <c r="C102" s="3">
        <v>150</v>
      </c>
      <c r="D102" s="3">
        <v>146</v>
      </c>
      <c r="E102" s="47">
        <f t="shared" si="3"/>
        <v>2.7897260273972604</v>
      </c>
      <c r="F102" s="54">
        <f t="shared" si="4"/>
        <v>0.11623858447488584</v>
      </c>
    </row>
    <row r="103" spans="1:6" x14ac:dyDescent="0.25">
      <c r="A103" s="51">
        <v>45767.999305555553</v>
      </c>
      <c r="B103" s="38">
        <v>523.6</v>
      </c>
      <c r="C103" s="3">
        <v>150</v>
      </c>
      <c r="D103" s="3">
        <v>146</v>
      </c>
      <c r="E103" s="47">
        <f t="shared" si="3"/>
        <v>3.5863013698630137</v>
      </c>
      <c r="F103" s="54">
        <f t="shared" si="4"/>
        <v>0.14942922374429224</v>
      </c>
    </row>
    <row r="104" spans="1:6" x14ac:dyDescent="0.25">
      <c r="A104" s="51">
        <v>45768.999305555553</v>
      </c>
      <c r="B104" s="38">
        <v>498.2</v>
      </c>
      <c r="C104" s="3">
        <v>150</v>
      </c>
      <c r="D104" s="3">
        <v>146</v>
      </c>
      <c r="E104" s="47">
        <f t="shared" si="3"/>
        <v>3.4123287671232876</v>
      </c>
      <c r="F104" s="54">
        <f t="shared" si="4"/>
        <v>0.14218036529680364</v>
      </c>
    </row>
    <row r="105" spans="1:6" x14ac:dyDescent="0.25">
      <c r="A105" s="51">
        <v>45769.999305555553</v>
      </c>
      <c r="B105" s="38">
        <v>300.89999999999998</v>
      </c>
      <c r="C105" s="3">
        <v>150</v>
      </c>
      <c r="D105" s="3">
        <v>146</v>
      </c>
      <c r="E105" s="47">
        <f t="shared" si="3"/>
        <v>2.0609589041095888</v>
      </c>
      <c r="F105" s="54">
        <f t="shared" si="4"/>
        <v>8.5873287671232867E-2</v>
      </c>
    </row>
    <row r="106" spans="1:6" x14ac:dyDescent="0.25">
      <c r="A106" s="51">
        <v>45770.999305555553</v>
      </c>
      <c r="B106" s="38">
        <v>309</v>
      </c>
      <c r="C106" s="3">
        <v>150</v>
      </c>
      <c r="D106" s="3">
        <v>146</v>
      </c>
      <c r="E106" s="47">
        <f t="shared" si="3"/>
        <v>2.1164383561643834</v>
      </c>
      <c r="F106" s="54">
        <f t="shared" si="4"/>
        <v>8.8184931506849321E-2</v>
      </c>
    </row>
    <row r="107" spans="1:6" x14ac:dyDescent="0.25">
      <c r="A107" s="51">
        <v>45771.999305555553</v>
      </c>
      <c r="B107" s="38">
        <v>406.3</v>
      </c>
      <c r="C107" s="3">
        <v>150</v>
      </c>
      <c r="D107" s="3">
        <v>146</v>
      </c>
      <c r="E107" s="47">
        <f t="shared" si="3"/>
        <v>2.782876712328767</v>
      </c>
      <c r="F107" s="54">
        <f t="shared" si="4"/>
        <v>0.11595319634703197</v>
      </c>
    </row>
    <row r="108" spans="1:6" x14ac:dyDescent="0.25">
      <c r="A108" s="51">
        <v>45772.999305555553</v>
      </c>
      <c r="B108" s="38">
        <v>328.7</v>
      </c>
      <c r="C108" s="3">
        <v>150</v>
      </c>
      <c r="D108" s="3">
        <v>146</v>
      </c>
      <c r="E108" s="47">
        <f t="shared" si="3"/>
        <v>2.2513698630136987</v>
      </c>
      <c r="F108" s="54">
        <f t="shared" si="4"/>
        <v>9.3807077625570778E-2</v>
      </c>
    </row>
    <row r="109" spans="1:6" x14ac:dyDescent="0.25">
      <c r="A109" s="51">
        <v>45773.999305555553</v>
      </c>
      <c r="B109" s="38">
        <v>550.70000000000005</v>
      </c>
      <c r="C109" s="3">
        <v>150</v>
      </c>
      <c r="D109" s="3">
        <v>146</v>
      </c>
      <c r="E109" s="47">
        <f t="shared" si="3"/>
        <v>3.7719178082191784</v>
      </c>
      <c r="F109" s="54">
        <f t="shared" si="4"/>
        <v>0.15716324200913243</v>
      </c>
    </row>
    <row r="110" spans="1:6" x14ac:dyDescent="0.25">
      <c r="A110" s="51">
        <v>45774.999305555553</v>
      </c>
      <c r="B110" s="38">
        <v>437.2</v>
      </c>
      <c r="C110" s="3">
        <v>150</v>
      </c>
      <c r="D110" s="3">
        <v>146</v>
      </c>
      <c r="E110" s="47">
        <f t="shared" si="3"/>
        <v>2.9945205479452053</v>
      </c>
      <c r="F110" s="54">
        <f t="shared" si="4"/>
        <v>0.12477168949771689</v>
      </c>
    </row>
    <row r="111" spans="1:6" x14ac:dyDescent="0.25">
      <c r="A111" s="51">
        <v>45775.999305555553</v>
      </c>
      <c r="B111" s="38">
        <v>388.6</v>
      </c>
      <c r="C111" s="3">
        <v>150</v>
      </c>
      <c r="D111" s="3">
        <v>146</v>
      </c>
      <c r="E111" s="47">
        <f t="shared" si="3"/>
        <v>2.6616438356164385</v>
      </c>
      <c r="F111" s="54">
        <f t="shared" si="4"/>
        <v>0.11090182648401826</v>
      </c>
    </row>
    <row r="112" spans="1:6" x14ac:dyDescent="0.25">
      <c r="A112" s="51">
        <v>45776.999305555553</v>
      </c>
      <c r="B112" s="38">
        <v>423.6</v>
      </c>
      <c r="C112" s="3">
        <v>150</v>
      </c>
      <c r="D112" s="3">
        <v>146</v>
      </c>
      <c r="E112" s="47">
        <f t="shared" si="3"/>
        <v>2.9013698630136986</v>
      </c>
      <c r="F112" s="54">
        <f t="shared" si="4"/>
        <v>0.12089041095890411</v>
      </c>
    </row>
    <row r="113" spans="1:6" x14ac:dyDescent="0.25">
      <c r="A113" s="51">
        <v>45777.999305555553</v>
      </c>
      <c r="B113" s="38">
        <v>363.2</v>
      </c>
      <c r="C113" s="3">
        <v>150</v>
      </c>
      <c r="D113" s="3">
        <v>146</v>
      </c>
      <c r="E113" s="47">
        <f t="shared" si="3"/>
        <v>2.4876712328767123</v>
      </c>
      <c r="F113" s="54">
        <f t="shared" si="4"/>
        <v>0.10365296803652968</v>
      </c>
    </row>
    <row r="114" spans="1:6" x14ac:dyDescent="0.25">
      <c r="A114" s="51">
        <v>45778.999305555553</v>
      </c>
      <c r="B114" s="38">
        <v>397.7</v>
      </c>
      <c r="C114" s="3">
        <v>150</v>
      </c>
      <c r="D114" s="3">
        <v>146</v>
      </c>
      <c r="E114" s="47">
        <f t="shared" ref="E114:E138" si="5">B114/D114</f>
        <v>2.723972602739726</v>
      </c>
      <c r="F114" s="54">
        <f t="shared" ref="F114:F138" si="6">B114/(24*D114)</f>
        <v>0.11349885844748858</v>
      </c>
    </row>
    <row r="115" spans="1:6" x14ac:dyDescent="0.25">
      <c r="A115" s="51">
        <v>45779.999305555553</v>
      </c>
      <c r="B115" s="38">
        <v>490.7</v>
      </c>
      <c r="C115" s="3">
        <v>150</v>
      </c>
      <c r="D115" s="3">
        <v>146</v>
      </c>
      <c r="E115" s="47">
        <f t="shared" si="5"/>
        <v>3.3609589041095891</v>
      </c>
      <c r="F115" s="54">
        <f t="shared" si="6"/>
        <v>0.14003995433789954</v>
      </c>
    </row>
    <row r="116" spans="1:6" x14ac:dyDescent="0.25">
      <c r="A116" s="51">
        <v>45780.999305555553</v>
      </c>
      <c r="B116" s="38">
        <v>440.9</v>
      </c>
      <c r="C116" s="3">
        <v>150</v>
      </c>
      <c r="D116" s="3">
        <v>146</v>
      </c>
      <c r="E116" s="47">
        <f t="shared" si="5"/>
        <v>3.0198630136986302</v>
      </c>
      <c r="F116" s="54">
        <f t="shared" si="6"/>
        <v>0.12582762557077626</v>
      </c>
    </row>
    <row r="117" spans="1:6" x14ac:dyDescent="0.25">
      <c r="A117" s="51">
        <v>45781.999305555553</v>
      </c>
      <c r="B117" s="38">
        <v>415.4</v>
      </c>
      <c r="C117" s="3">
        <v>150</v>
      </c>
      <c r="D117" s="3">
        <v>146</v>
      </c>
      <c r="E117" s="47">
        <f t="shared" si="5"/>
        <v>2.8452054794520545</v>
      </c>
      <c r="F117" s="54">
        <f t="shared" si="6"/>
        <v>0.11855022831050227</v>
      </c>
    </row>
    <row r="118" spans="1:6" x14ac:dyDescent="0.25">
      <c r="A118" s="51">
        <v>45782.999305555553</v>
      </c>
      <c r="B118" s="38">
        <v>350.3</v>
      </c>
      <c r="C118" s="3">
        <v>150</v>
      </c>
      <c r="D118" s="3">
        <v>146</v>
      </c>
      <c r="E118" s="47">
        <f t="shared" si="5"/>
        <v>2.3993150684931508</v>
      </c>
      <c r="F118" s="54">
        <f t="shared" si="6"/>
        <v>9.9971461187214616E-2</v>
      </c>
    </row>
    <row r="119" spans="1:6" x14ac:dyDescent="0.25">
      <c r="A119" s="51">
        <v>45783.999305555553</v>
      </c>
      <c r="B119" s="38">
        <v>421.4</v>
      </c>
      <c r="C119" s="3">
        <v>150</v>
      </c>
      <c r="D119" s="3">
        <v>146</v>
      </c>
      <c r="E119" s="47">
        <f t="shared" si="5"/>
        <v>2.8863013698630136</v>
      </c>
      <c r="F119" s="54">
        <f t="shared" si="6"/>
        <v>0.12026255707762556</v>
      </c>
    </row>
    <row r="120" spans="1:6" x14ac:dyDescent="0.25">
      <c r="A120" s="51">
        <v>45784.999305555553</v>
      </c>
      <c r="B120" s="38">
        <v>494.3</v>
      </c>
      <c r="C120" s="3">
        <v>150</v>
      </c>
      <c r="D120" s="3">
        <v>146</v>
      </c>
      <c r="E120" s="47">
        <f t="shared" si="5"/>
        <v>3.3856164383561644</v>
      </c>
      <c r="F120" s="54">
        <f t="shared" si="6"/>
        <v>0.14106735159817352</v>
      </c>
    </row>
    <row r="121" spans="1:6" x14ac:dyDescent="0.25">
      <c r="A121" s="51">
        <v>45785.999305555553</v>
      </c>
      <c r="B121" s="38">
        <v>452.8</v>
      </c>
      <c r="C121" s="3">
        <v>150</v>
      </c>
      <c r="D121" s="3">
        <v>146</v>
      </c>
      <c r="E121" s="47">
        <f t="shared" si="5"/>
        <v>3.1013698630136988</v>
      </c>
      <c r="F121" s="54">
        <f t="shared" si="6"/>
        <v>0.12922374429223746</v>
      </c>
    </row>
    <row r="122" spans="1:6" x14ac:dyDescent="0.25">
      <c r="A122" s="51">
        <v>45786.999305555553</v>
      </c>
      <c r="B122" s="38">
        <v>290.3</v>
      </c>
      <c r="C122" s="3">
        <v>150</v>
      </c>
      <c r="D122" s="3">
        <v>146</v>
      </c>
      <c r="E122" s="47">
        <f t="shared" si="5"/>
        <v>1.9883561643835617</v>
      </c>
      <c r="F122" s="54">
        <f t="shared" si="6"/>
        <v>8.2848173515981741E-2</v>
      </c>
    </row>
    <row r="123" spans="1:6" x14ac:dyDescent="0.25">
      <c r="A123" s="51">
        <v>45787.999305555553</v>
      </c>
      <c r="B123" s="38">
        <v>479.5</v>
      </c>
      <c r="C123" s="3">
        <v>150</v>
      </c>
      <c r="D123" s="3">
        <v>146</v>
      </c>
      <c r="E123" s="47">
        <f t="shared" si="5"/>
        <v>3.2842465753424657</v>
      </c>
      <c r="F123" s="54">
        <f t="shared" si="6"/>
        <v>0.13684360730593606</v>
      </c>
    </row>
    <row r="124" spans="1:6" x14ac:dyDescent="0.25">
      <c r="A124" s="51">
        <v>45788.999305555553</v>
      </c>
      <c r="B124" s="38">
        <v>492.2</v>
      </c>
      <c r="C124" s="3">
        <v>150</v>
      </c>
      <c r="D124" s="3">
        <v>146</v>
      </c>
      <c r="E124" s="47">
        <f t="shared" si="5"/>
        <v>3.3712328767123285</v>
      </c>
      <c r="F124" s="54">
        <f t="shared" si="6"/>
        <v>0.14046803652968037</v>
      </c>
    </row>
    <row r="125" spans="1:6" x14ac:dyDescent="0.25">
      <c r="A125" s="51">
        <v>45789.999305555553</v>
      </c>
      <c r="B125" s="38">
        <v>411.3</v>
      </c>
      <c r="C125" s="3">
        <v>150</v>
      </c>
      <c r="D125" s="3">
        <v>146</v>
      </c>
      <c r="E125" s="47">
        <f t="shared" si="5"/>
        <v>2.8171232876712331</v>
      </c>
      <c r="F125" s="54">
        <f t="shared" si="6"/>
        <v>0.11738013698630137</v>
      </c>
    </row>
    <row r="126" spans="1:6" x14ac:dyDescent="0.25">
      <c r="A126" s="51">
        <v>45790.999305555553</v>
      </c>
      <c r="B126" s="38">
        <v>315.5</v>
      </c>
      <c r="C126" s="3">
        <v>150</v>
      </c>
      <c r="D126" s="3">
        <v>146</v>
      </c>
      <c r="E126" s="47">
        <f t="shared" si="5"/>
        <v>2.1609589041095889</v>
      </c>
      <c r="F126" s="54">
        <f t="shared" si="6"/>
        <v>9.0039954337899547E-2</v>
      </c>
    </row>
    <row r="127" spans="1:6" x14ac:dyDescent="0.25">
      <c r="A127" s="51">
        <v>45791.999305555553</v>
      </c>
      <c r="B127" s="38">
        <v>388.4</v>
      </c>
      <c r="C127" s="3">
        <v>150</v>
      </c>
      <c r="D127" s="3">
        <v>146</v>
      </c>
      <c r="E127" s="47">
        <f t="shared" si="5"/>
        <v>2.6602739726027398</v>
      </c>
      <c r="F127" s="54">
        <f t="shared" si="6"/>
        <v>0.11084474885844749</v>
      </c>
    </row>
    <row r="128" spans="1:6" x14ac:dyDescent="0.25">
      <c r="A128" s="51">
        <v>45792.999305555553</v>
      </c>
      <c r="B128" s="38">
        <v>324.7</v>
      </c>
      <c r="C128" s="3">
        <v>150</v>
      </c>
      <c r="D128" s="3">
        <v>146</v>
      </c>
      <c r="E128" s="47">
        <f t="shared" si="5"/>
        <v>2.223972602739726</v>
      </c>
      <c r="F128" s="54">
        <f t="shared" si="6"/>
        <v>9.2665525114155253E-2</v>
      </c>
    </row>
    <row r="129" spans="1:6" x14ac:dyDescent="0.25">
      <c r="A129" s="51">
        <v>45793.999305555553</v>
      </c>
      <c r="B129" s="38">
        <v>397.4</v>
      </c>
      <c r="C129" s="3">
        <v>150</v>
      </c>
      <c r="D129" s="3">
        <v>146</v>
      </c>
      <c r="E129" s="47">
        <f t="shared" si="5"/>
        <v>2.7219178082191777</v>
      </c>
      <c r="F129" s="54">
        <f t="shared" si="6"/>
        <v>0.11341324200913241</v>
      </c>
    </row>
    <row r="130" spans="1:6" x14ac:dyDescent="0.25">
      <c r="A130" s="51">
        <v>45794.999305555553</v>
      </c>
      <c r="B130" s="38">
        <v>481.8</v>
      </c>
      <c r="C130" s="3">
        <v>150</v>
      </c>
      <c r="D130" s="3">
        <v>146</v>
      </c>
      <c r="E130" s="47">
        <f t="shared" si="5"/>
        <v>3.3000000000000003</v>
      </c>
      <c r="F130" s="54">
        <f t="shared" si="6"/>
        <v>0.13750000000000001</v>
      </c>
    </row>
    <row r="131" spans="1:6" x14ac:dyDescent="0.25">
      <c r="A131" s="51">
        <v>45795.999305555553</v>
      </c>
      <c r="B131" s="38">
        <v>446.1</v>
      </c>
      <c r="C131" s="3">
        <v>150</v>
      </c>
      <c r="D131" s="3">
        <v>146</v>
      </c>
      <c r="E131" s="47">
        <f t="shared" si="5"/>
        <v>3.0554794520547945</v>
      </c>
      <c r="F131" s="54">
        <f t="shared" si="6"/>
        <v>0.12731164383561644</v>
      </c>
    </row>
    <row r="132" spans="1:6" x14ac:dyDescent="0.25">
      <c r="A132" s="51">
        <v>45796.999305555553</v>
      </c>
      <c r="B132" s="38">
        <v>483.4</v>
      </c>
      <c r="C132" s="3">
        <v>150</v>
      </c>
      <c r="D132" s="3">
        <v>146</v>
      </c>
      <c r="E132" s="47">
        <f t="shared" si="5"/>
        <v>3.3109589041095888</v>
      </c>
      <c r="F132" s="54">
        <f t="shared" si="6"/>
        <v>0.13795662100456621</v>
      </c>
    </row>
    <row r="133" spans="1:6" x14ac:dyDescent="0.25">
      <c r="A133" s="51">
        <v>45797.999305555553</v>
      </c>
      <c r="B133" s="38">
        <v>483.4</v>
      </c>
      <c r="C133" s="3">
        <v>150</v>
      </c>
      <c r="D133" s="3">
        <v>146</v>
      </c>
      <c r="E133" s="47">
        <f t="shared" si="5"/>
        <v>3.3109589041095888</v>
      </c>
      <c r="F133" s="54">
        <f t="shared" si="6"/>
        <v>0.13795662100456621</v>
      </c>
    </row>
    <row r="134" spans="1:6" x14ac:dyDescent="0.25">
      <c r="A134" s="51">
        <v>45798.999305555553</v>
      </c>
      <c r="B134" s="38">
        <v>508.6</v>
      </c>
      <c r="C134" s="3">
        <v>150</v>
      </c>
      <c r="D134" s="3">
        <v>146</v>
      </c>
      <c r="E134" s="47">
        <f t="shared" si="5"/>
        <v>3.4835616438356167</v>
      </c>
      <c r="F134" s="54">
        <f t="shared" si="6"/>
        <v>0.14514840182648403</v>
      </c>
    </row>
    <row r="135" spans="1:6" x14ac:dyDescent="0.25">
      <c r="A135" s="51">
        <v>45799.999305555553</v>
      </c>
      <c r="B135" s="38">
        <v>384.9</v>
      </c>
      <c r="C135" s="3">
        <v>150</v>
      </c>
      <c r="D135" s="3">
        <v>146</v>
      </c>
      <c r="E135" s="47">
        <f t="shared" si="5"/>
        <v>2.6363013698630136</v>
      </c>
      <c r="F135" s="54">
        <f t="shared" si="6"/>
        <v>0.10984589041095889</v>
      </c>
    </row>
    <row r="136" spans="1:6" x14ac:dyDescent="0.25">
      <c r="A136" s="51">
        <v>45800.999305555553</v>
      </c>
      <c r="B136" s="38">
        <v>494.9</v>
      </c>
      <c r="C136" s="3">
        <v>150</v>
      </c>
      <c r="D136" s="3">
        <v>146</v>
      </c>
      <c r="E136" s="47">
        <f t="shared" si="5"/>
        <v>3.38972602739726</v>
      </c>
      <c r="F136" s="54">
        <f t="shared" si="6"/>
        <v>0.14123858447488583</v>
      </c>
    </row>
    <row r="137" spans="1:6" x14ac:dyDescent="0.25">
      <c r="A137" s="51">
        <v>45801.999305555553</v>
      </c>
      <c r="B137" s="38">
        <v>491.1</v>
      </c>
      <c r="C137" s="3">
        <v>150</v>
      </c>
      <c r="D137" s="3">
        <v>146</v>
      </c>
      <c r="E137" s="47">
        <f t="shared" si="5"/>
        <v>3.3636986301369864</v>
      </c>
      <c r="F137" s="54">
        <f t="shared" si="6"/>
        <v>0.14015410958904109</v>
      </c>
    </row>
    <row r="138" spans="1:6" x14ac:dyDescent="0.25">
      <c r="A138" s="51">
        <v>45802.999305555553</v>
      </c>
      <c r="B138" s="38">
        <v>443.8</v>
      </c>
      <c r="C138" s="3">
        <v>150</v>
      </c>
      <c r="D138" s="3">
        <v>146</v>
      </c>
      <c r="E138" s="47">
        <f t="shared" si="5"/>
        <v>3.0397260273972604</v>
      </c>
      <c r="F138" s="54">
        <f t="shared" si="6"/>
        <v>0.12665525114155252</v>
      </c>
    </row>
    <row r="139" spans="1:6" x14ac:dyDescent="0.25">
      <c r="A139" s="51">
        <v>45803.999305555553</v>
      </c>
      <c r="B139" s="38">
        <v>478.5</v>
      </c>
      <c r="C139" s="3">
        <v>150</v>
      </c>
      <c r="D139" s="3">
        <v>146</v>
      </c>
      <c r="E139" s="47">
        <f>B139/D139</f>
        <v>3.2773972602739727</v>
      </c>
      <c r="F139" s="54">
        <f t="shared" ref="F139:F144" si="7">B139/(24*D139)</f>
        <v>0.1365582191780822</v>
      </c>
    </row>
    <row r="140" spans="1:6" x14ac:dyDescent="0.25">
      <c r="A140" s="51">
        <v>45804.999305497688</v>
      </c>
      <c r="B140" s="38">
        <v>349.2</v>
      </c>
      <c r="C140" s="3">
        <v>150</v>
      </c>
      <c r="D140" s="3">
        <v>146</v>
      </c>
      <c r="E140" s="47">
        <f>B140/D140</f>
        <v>2.3917808219178083</v>
      </c>
      <c r="F140" s="54">
        <f t="shared" si="7"/>
        <v>9.9657534246575336E-2</v>
      </c>
    </row>
    <row r="141" spans="1:6" x14ac:dyDescent="0.25">
      <c r="A141" s="51">
        <v>45805.999305497688</v>
      </c>
      <c r="B141" s="38">
        <v>369.7</v>
      </c>
      <c r="C141" s="3">
        <v>150</v>
      </c>
      <c r="D141" s="3">
        <v>146</v>
      </c>
      <c r="E141" s="47">
        <f>B142/D141</f>
        <v>2.4732876712328768</v>
      </c>
      <c r="F141" s="54">
        <f t="shared" si="7"/>
        <v>0.10550799086757991</v>
      </c>
    </row>
    <row r="142" spans="1:6" x14ac:dyDescent="0.25">
      <c r="A142" s="51">
        <v>45806.999305497688</v>
      </c>
      <c r="B142" s="38">
        <v>361.1</v>
      </c>
      <c r="C142" s="3">
        <v>150</v>
      </c>
      <c r="D142" s="3">
        <v>146</v>
      </c>
      <c r="E142" s="47">
        <f>B143/D142</f>
        <v>2.2643835616438359</v>
      </c>
      <c r="F142" s="54">
        <f t="shared" si="7"/>
        <v>0.10305365296803654</v>
      </c>
    </row>
    <row r="143" spans="1:6" x14ac:dyDescent="0.25">
      <c r="A143" s="51">
        <v>45807.999305497688</v>
      </c>
      <c r="B143" s="38">
        <v>330.6</v>
      </c>
      <c r="C143" s="3">
        <v>150</v>
      </c>
      <c r="D143" s="3">
        <v>146</v>
      </c>
      <c r="E143" s="47">
        <f>B143/D143</f>
        <v>2.2643835616438359</v>
      </c>
      <c r="F143" s="54">
        <f t="shared" si="7"/>
        <v>9.4349315068493159E-2</v>
      </c>
    </row>
    <row r="144" spans="1:6" x14ac:dyDescent="0.25">
      <c r="A144" s="51">
        <v>45808.999305497688</v>
      </c>
      <c r="B144" s="38">
        <v>439</v>
      </c>
      <c r="C144" s="3">
        <v>150</v>
      </c>
      <c r="D144" s="3">
        <v>146</v>
      </c>
      <c r="E144" s="47">
        <f>B144/D144</f>
        <v>3.006849315068493</v>
      </c>
      <c r="F144" s="54">
        <f t="shared" si="7"/>
        <v>0.12528538812785389</v>
      </c>
    </row>
    <row r="145" spans="1:6" x14ac:dyDescent="0.25">
      <c r="A145" s="51">
        <v>45809.999305497688</v>
      </c>
      <c r="B145" s="38">
        <v>460.6</v>
      </c>
      <c r="C145" s="3">
        <v>150</v>
      </c>
      <c r="D145" s="3">
        <v>146</v>
      </c>
      <c r="E145" s="47">
        <f>B145/D145</f>
        <v>3.1547945205479455</v>
      </c>
      <c r="F145" s="54">
        <f t="shared" ref="F145:F208" si="8">B145/(24*D145)</f>
        <v>0.13144977168949773</v>
      </c>
    </row>
    <row r="146" spans="1:6" x14ac:dyDescent="0.25">
      <c r="A146" s="51">
        <v>45810.999305497688</v>
      </c>
      <c r="B146" s="38">
        <v>358.9</v>
      </c>
      <c r="C146" s="3">
        <v>150</v>
      </c>
      <c r="D146" s="3">
        <v>146</v>
      </c>
      <c r="E146" s="47">
        <f>B146/D146</f>
        <v>2.4582191780821918</v>
      </c>
      <c r="F146" s="54">
        <f t="shared" si="8"/>
        <v>0.10242579908675799</v>
      </c>
    </row>
    <row r="147" spans="1:6" x14ac:dyDescent="0.25">
      <c r="A147" s="51">
        <v>45811.999305497688</v>
      </c>
      <c r="B147" s="38">
        <v>405.2</v>
      </c>
      <c r="C147" s="3">
        <v>150</v>
      </c>
      <c r="D147" s="3">
        <v>146</v>
      </c>
      <c r="E147" s="47">
        <f t="shared" ref="E147:E208" si="9">B147/D147</f>
        <v>2.7753424657534245</v>
      </c>
      <c r="F147" s="54">
        <f t="shared" si="8"/>
        <v>0.11563926940639269</v>
      </c>
    </row>
    <row r="148" spans="1:6" x14ac:dyDescent="0.25">
      <c r="A148" s="51">
        <v>45812.999305497688</v>
      </c>
      <c r="B148" s="38">
        <v>479.5</v>
      </c>
      <c r="C148" s="3">
        <v>150</v>
      </c>
      <c r="D148" s="3">
        <v>146</v>
      </c>
      <c r="E148" s="47">
        <f t="shared" si="9"/>
        <v>3.2842465753424657</v>
      </c>
      <c r="F148" s="54">
        <f t="shared" si="8"/>
        <v>0.13684360730593606</v>
      </c>
    </row>
    <row r="149" spans="1:6" x14ac:dyDescent="0.25">
      <c r="A149" s="51">
        <v>45813.999305497688</v>
      </c>
      <c r="B149" s="38">
        <v>466.4</v>
      </c>
      <c r="C149" s="3">
        <v>150</v>
      </c>
      <c r="D149" s="3">
        <v>146</v>
      </c>
      <c r="E149" s="47">
        <f t="shared" si="9"/>
        <v>3.1945205479452055</v>
      </c>
      <c r="F149" s="54">
        <f t="shared" si="8"/>
        <v>0.13310502283105022</v>
      </c>
    </row>
    <row r="150" spans="1:6" x14ac:dyDescent="0.25">
      <c r="A150" s="51">
        <v>45814.999305497688</v>
      </c>
      <c r="B150" s="38">
        <v>433.8</v>
      </c>
      <c r="C150" s="3">
        <v>150</v>
      </c>
      <c r="D150" s="3">
        <v>146</v>
      </c>
      <c r="E150" s="47">
        <f t="shared" si="9"/>
        <v>2.9712328767123291</v>
      </c>
      <c r="F150" s="54">
        <f t="shared" si="8"/>
        <v>0.1238013698630137</v>
      </c>
    </row>
    <row r="151" spans="1:6" x14ac:dyDescent="0.25">
      <c r="A151" s="51">
        <v>45815.999305497688</v>
      </c>
      <c r="B151" s="38">
        <v>351.4</v>
      </c>
      <c r="C151" s="3">
        <v>150</v>
      </c>
      <c r="D151" s="3">
        <v>146</v>
      </c>
      <c r="E151" s="47">
        <f t="shared" si="9"/>
        <v>2.4068493150684929</v>
      </c>
      <c r="F151" s="54">
        <f t="shared" si="8"/>
        <v>0.10028538812785387</v>
      </c>
    </row>
    <row r="152" spans="1:6" x14ac:dyDescent="0.25">
      <c r="A152" s="51">
        <v>45816.999305497688</v>
      </c>
      <c r="B152" s="38">
        <v>431.4</v>
      </c>
      <c r="C152" s="3">
        <v>150</v>
      </c>
      <c r="D152" s="3">
        <v>146</v>
      </c>
      <c r="E152" s="47">
        <f t="shared" si="9"/>
        <v>2.9547945205479449</v>
      </c>
      <c r="F152" s="54">
        <f t="shared" si="8"/>
        <v>0.12311643835616437</v>
      </c>
    </row>
    <row r="153" spans="1:6" x14ac:dyDescent="0.25">
      <c r="A153" s="51">
        <v>45817.999305497688</v>
      </c>
      <c r="B153" s="38">
        <v>378.4</v>
      </c>
      <c r="C153" s="3">
        <v>150</v>
      </c>
      <c r="D153" s="3">
        <v>146</v>
      </c>
      <c r="E153" s="47">
        <f t="shared" si="9"/>
        <v>2.591780821917808</v>
      </c>
      <c r="F153" s="54">
        <f t="shared" si="8"/>
        <v>0.10799086757990867</v>
      </c>
    </row>
    <row r="154" spans="1:6" x14ac:dyDescent="0.25">
      <c r="A154" s="51">
        <v>45818.999305497688</v>
      </c>
      <c r="B154" s="38">
        <v>400.2</v>
      </c>
      <c r="C154" s="3">
        <v>150</v>
      </c>
      <c r="D154" s="3">
        <v>146</v>
      </c>
      <c r="E154" s="47">
        <f t="shared" si="9"/>
        <v>2.7410958904109588</v>
      </c>
      <c r="F154" s="54">
        <f t="shared" si="8"/>
        <v>0.11421232876712328</v>
      </c>
    </row>
    <row r="155" spans="1:6" x14ac:dyDescent="0.25">
      <c r="A155" s="51">
        <v>45819.999305497688</v>
      </c>
      <c r="B155" s="38">
        <v>456.2</v>
      </c>
      <c r="C155" s="3">
        <v>150</v>
      </c>
      <c r="D155" s="3">
        <v>146</v>
      </c>
      <c r="E155" s="47">
        <f t="shared" si="9"/>
        <v>3.1246575342465754</v>
      </c>
      <c r="F155" s="54">
        <f t="shared" si="8"/>
        <v>0.13019406392694063</v>
      </c>
    </row>
    <row r="156" spans="1:6" x14ac:dyDescent="0.25">
      <c r="A156" s="51">
        <v>45820.999305497688</v>
      </c>
      <c r="B156" s="38">
        <v>476.6</v>
      </c>
      <c r="C156" s="3">
        <v>150</v>
      </c>
      <c r="D156" s="3">
        <v>146</v>
      </c>
      <c r="E156" s="47">
        <f t="shared" si="9"/>
        <v>3.2643835616438359</v>
      </c>
      <c r="F156" s="54">
        <f t="shared" si="8"/>
        <v>0.13601598173515983</v>
      </c>
    </row>
    <row r="157" spans="1:6" x14ac:dyDescent="0.25">
      <c r="A157" s="51">
        <v>45821.999305497688</v>
      </c>
      <c r="B157" s="38">
        <v>444.2</v>
      </c>
      <c r="C157" s="3">
        <v>150</v>
      </c>
      <c r="D157" s="3">
        <v>146</v>
      </c>
      <c r="E157" s="47">
        <f t="shared" si="9"/>
        <v>3.0424657534246573</v>
      </c>
      <c r="F157" s="54">
        <f t="shared" si="8"/>
        <v>0.12676940639269407</v>
      </c>
    </row>
    <row r="158" spans="1:6" x14ac:dyDescent="0.25">
      <c r="A158" s="51">
        <v>45822.999305497688</v>
      </c>
      <c r="B158" s="38">
        <v>375.8</v>
      </c>
      <c r="C158" s="3">
        <v>150</v>
      </c>
      <c r="D158" s="3">
        <v>146</v>
      </c>
      <c r="E158" s="47">
        <f t="shared" si="9"/>
        <v>2.5739726027397261</v>
      </c>
      <c r="F158" s="54">
        <f t="shared" si="8"/>
        <v>0.10724885844748859</v>
      </c>
    </row>
    <row r="159" spans="1:6" x14ac:dyDescent="0.25">
      <c r="A159" s="51">
        <v>45823.999305497688</v>
      </c>
      <c r="B159" s="38">
        <v>467.9</v>
      </c>
      <c r="C159" s="3">
        <v>150</v>
      </c>
      <c r="D159" s="3">
        <v>146</v>
      </c>
      <c r="E159" s="47">
        <f t="shared" si="9"/>
        <v>3.2047945205479449</v>
      </c>
      <c r="F159" s="54">
        <f t="shared" si="8"/>
        <v>0.13353310502283106</v>
      </c>
    </row>
    <row r="160" spans="1:6" x14ac:dyDescent="0.25">
      <c r="A160" s="51">
        <v>45824.999305497688</v>
      </c>
      <c r="B160" s="38">
        <v>460.6</v>
      </c>
      <c r="C160" s="3">
        <v>150</v>
      </c>
      <c r="D160" s="3">
        <v>146</v>
      </c>
      <c r="E160" s="47">
        <f t="shared" si="9"/>
        <v>3.1547945205479455</v>
      </c>
      <c r="F160" s="54">
        <f t="shared" si="8"/>
        <v>0.13144977168949773</v>
      </c>
    </row>
    <row r="161" spans="1:6" x14ac:dyDescent="0.25">
      <c r="A161" s="51">
        <v>45825.999305497688</v>
      </c>
      <c r="B161" s="38">
        <v>445.7</v>
      </c>
      <c r="C161" s="3">
        <v>150</v>
      </c>
      <c r="D161" s="3">
        <v>146</v>
      </c>
      <c r="E161" s="47">
        <f t="shared" si="9"/>
        <v>3.0527397260273972</v>
      </c>
      <c r="F161" s="54">
        <f t="shared" si="8"/>
        <v>0.12719748858447488</v>
      </c>
    </row>
    <row r="162" spans="1:6" x14ac:dyDescent="0.25">
      <c r="A162" s="51">
        <v>45826.999305497688</v>
      </c>
      <c r="B162" s="38">
        <v>454.7</v>
      </c>
      <c r="C162" s="3">
        <v>150</v>
      </c>
      <c r="D162" s="3">
        <v>146</v>
      </c>
      <c r="E162" s="47">
        <f t="shared" si="9"/>
        <v>3.1143835616438356</v>
      </c>
      <c r="F162" s="54">
        <f t="shared" si="8"/>
        <v>0.12976598173515982</v>
      </c>
    </row>
    <row r="163" spans="1:6" x14ac:dyDescent="0.25">
      <c r="A163" s="51">
        <v>45827.999305497688</v>
      </c>
      <c r="B163" s="38">
        <v>466.2</v>
      </c>
      <c r="C163" s="3">
        <v>150</v>
      </c>
      <c r="D163" s="3">
        <v>146</v>
      </c>
      <c r="E163" s="47">
        <f t="shared" si="9"/>
        <v>3.1931506849315068</v>
      </c>
      <c r="F163" s="54">
        <f t="shared" si="8"/>
        <v>0.13304794520547944</v>
      </c>
    </row>
    <row r="164" spans="1:6" x14ac:dyDescent="0.25">
      <c r="A164" s="51">
        <v>45828.999305497688</v>
      </c>
      <c r="B164" s="38">
        <v>382</v>
      </c>
      <c r="C164" s="3">
        <v>150</v>
      </c>
      <c r="D164" s="3">
        <v>146</v>
      </c>
      <c r="E164" s="47">
        <f t="shared" si="9"/>
        <v>2.6164383561643834</v>
      </c>
      <c r="F164" s="54">
        <f t="shared" si="8"/>
        <v>0.10901826484018265</v>
      </c>
    </row>
    <row r="165" spans="1:6" x14ac:dyDescent="0.25">
      <c r="A165" s="51">
        <v>45829.999305497688</v>
      </c>
      <c r="B165" s="38">
        <v>392.1</v>
      </c>
      <c r="C165" s="3">
        <v>150</v>
      </c>
      <c r="D165" s="3">
        <v>146</v>
      </c>
      <c r="E165" s="47">
        <f t="shared" si="9"/>
        <v>2.6856164383561647</v>
      </c>
      <c r="F165" s="54">
        <f t="shared" si="8"/>
        <v>0.11190068493150686</v>
      </c>
    </row>
    <row r="166" spans="1:6" x14ac:dyDescent="0.25">
      <c r="A166" s="51">
        <v>45830.999305497688</v>
      </c>
      <c r="B166" s="38">
        <v>448.5</v>
      </c>
      <c r="C166" s="3">
        <v>150</v>
      </c>
      <c r="D166" s="3">
        <v>146</v>
      </c>
      <c r="E166" s="47">
        <f t="shared" si="9"/>
        <v>3.0719178082191783</v>
      </c>
      <c r="F166" s="54">
        <f t="shared" si="8"/>
        <v>0.12799657534246575</v>
      </c>
    </row>
    <row r="167" spans="1:6" x14ac:dyDescent="0.25">
      <c r="A167" s="51">
        <v>45831.999305497688</v>
      </c>
      <c r="B167" s="38">
        <v>455.5</v>
      </c>
      <c r="C167" s="3">
        <v>150</v>
      </c>
      <c r="D167" s="3">
        <v>146</v>
      </c>
      <c r="E167" s="47">
        <f t="shared" si="9"/>
        <v>3.1198630136986303</v>
      </c>
      <c r="F167" s="54">
        <f>B167/(24*D167)</f>
        <v>0.12999429223744291</v>
      </c>
    </row>
    <row r="168" spans="1:6" x14ac:dyDescent="0.25">
      <c r="A168" s="51">
        <v>45832.999305497688</v>
      </c>
      <c r="B168" s="38">
        <v>353.4</v>
      </c>
      <c r="C168" s="3">
        <v>150</v>
      </c>
      <c r="D168" s="3">
        <v>146</v>
      </c>
      <c r="E168" s="47">
        <f t="shared" si="9"/>
        <v>2.4205479452054792</v>
      </c>
      <c r="F168" s="54">
        <f t="shared" si="8"/>
        <v>0.10085616438356164</v>
      </c>
    </row>
    <row r="169" spans="1:6" x14ac:dyDescent="0.25">
      <c r="A169" s="51">
        <v>45833.999305497688</v>
      </c>
      <c r="B169" s="38">
        <v>400.3</v>
      </c>
      <c r="C169" s="3">
        <v>150</v>
      </c>
      <c r="D169" s="3">
        <v>146</v>
      </c>
      <c r="E169" s="47">
        <f t="shared" si="9"/>
        <v>2.7417808219178084</v>
      </c>
      <c r="F169" s="54">
        <f t="shared" si="8"/>
        <v>0.11424086757990867</v>
      </c>
    </row>
    <row r="170" spans="1:6" x14ac:dyDescent="0.25">
      <c r="A170" s="51">
        <v>45834.999305497688</v>
      </c>
      <c r="B170" s="38">
        <v>430.5</v>
      </c>
      <c r="C170" s="3">
        <v>150</v>
      </c>
      <c r="D170" s="3">
        <v>146</v>
      </c>
      <c r="E170" s="47">
        <f t="shared" si="9"/>
        <v>2.9486301369863015</v>
      </c>
      <c r="F170" s="54">
        <f t="shared" si="8"/>
        <v>0.1228595890410959</v>
      </c>
    </row>
    <row r="171" spans="1:6" x14ac:dyDescent="0.25">
      <c r="A171" s="51">
        <v>45835.999305497688</v>
      </c>
      <c r="B171" s="38">
        <v>456.4</v>
      </c>
      <c r="C171" s="3">
        <v>150</v>
      </c>
      <c r="D171" s="3">
        <v>146</v>
      </c>
      <c r="E171" s="47">
        <f t="shared" si="9"/>
        <v>3.1260273972602737</v>
      </c>
      <c r="F171" s="54">
        <f t="shared" si="8"/>
        <v>0.13025114155251141</v>
      </c>
    </row>
    <row r="172" spans="1:6" x14ac:dyDescent="0.25">
      <c r="A172" s="51">
        <v>45836.999305497688</v>
      </c>
      <c r="B172" s="38">
        <v>429.6</v>
      </c>
      <c r="C172" s="3">
        <v>150</v>
      </c>
      <c r="D172" s="3">
        <v>146</v>
      </c>
      <c r="E172" s="47">
        <f t="shared" si="9"/>
        <v>2.9424657534246577</v>
      </c>
      <c r="F172" s="54">
        <f t="shared" si="8"/>
        <v>0.12260273972602741</v>
      </c>
    </row>
    <row r="173" spans="1:6" x14ac:dyDescent="0.25">
      <c r="A173" s="51">
        <v>45837.999305497688</v>
      </c>
      <c r="B173" s="38">
        <v>466.7</v>
      </c>
      <c r="C173" s="3">
        <v>150</v>
      </c>
      <c r="D173" s="3">
        <v>146</v>
      </c>
      <c r="E173" s="47">
        <f t="shared" si="9"/>
        <v>3.1965753424657533</v>
      </c>
      <c r="F173" s="54">
        <f t="shared" si="8"/>
        <v>0.13319063926940639</v>
      </c>
    </row>
    <row r="174" spans="1:6" x14ac:dyDescent="0.25">
      <c r="A174" s="51">
        <v>45838.999305497688</v>
      </c>
      <c r="B174" s="38">
        <v>464.6</v>
      </c>
      <c r="C174" s="3">
        <v>150</v>
      </c>
      <c r="D174" s="3">
        <v>146</v>
      </c>
      <c r="E174" s="47">
        <f t="shared" si="9"/>
        <v>3.1821917808219178</v>
      </c>
      <c r="F174" s="54">
        <f t="shared" si="8"/>
        <v>0.13259132420091324</v>
      </c>
    </row>
    <row r="175" spans="1:6" x14ac:dyDescent="0.25">
      <c r="A175" s="51">
        <v>45839.999305555553</v>
      </c>
      <c r="B175" s="38">
        <v>462.8</v>
      </c>
      <c r="C175" s="3">
        <v>150</v>
      </c>
      <c r="D175" s="3">
        <v>146</v>
      </c>
      <c r="E175" s="47">
        <f t="shared" si="9"/>
        <v>3.1698630136986301</v>
      </c>
      <c r="F175" s="54">
        <f t="shared" si="8"/>
        <v>0.13207762557077626</v>
      </c>
    </row>
    <row r="176" spans="1:6" x14ac:dyDescent="0.25">
      <c r="A176" s="51">
        <v>45840.999305555553</v>
      </c>
      <c r="B176" s="38">
        <v>454.6</v>
      </c>
      <c r="C176" s="3">
        <v>150</v>
      </c>
      <c r="D176" s="3">
        <v>146</v>
      </c>
      <c r="E176" s="47">
        <f t="shared" si="9"/>
        <v>3.1136986301369864</v>
      </c>
      <c r="F176" s="54">
        <f t="shared" si="8"/>
        <v>0.12973744292237444</v>
      </c>
    </row>
    <row r="177" spans="1:6" x14ac:dyDescent="0.25">
      <c r="A177" s="51">
        <v>45841.999305555553</v>
      </c>
      <c r="B177" s="38">
        <v>412</v>
      </c>
      <c r="C177" s="3">
        <v>150</v>
      </c>
      <c r="D177" s="3">
        <v>146</v>
      </c>
      <c r="E177" s="47">
        <f t="shared" si="9"/>
        <v>2.8219178082191783</v>
      </c>
      <c r="F177" s="54">
        <f t="shared" si="8"/>
        <v>0.11757990867579908</v>
      </c>
    </row>
    <row r="178" spans="1:6" x14ac:dyDescent="0.25">
      <c r="A178" s="51">
        <v>45842.999305555553</v>
      </c>
      <c r="B178" s="38">
        <v>344.3</v>
      </c>
      <c r="C178" s="3">
        <v>150</v>
      </c>
      <c r="D178" s="3">
        <v>146</v>
      </c>
      <c r="E178" s="47">
        <f t="shared" si="9"/>
        <v>2.3582191780821917</v>
      </c>
      <c r="F178" s="54">
        <f t="shared" si="8"/>
        <v>9.8259132420091322E-2</v>
      </c>
    </row>
    <row r="179" spans="1:6" x14ac:dyDescent="0.25">
      <c r="A179" s="51">
        <v>45843.999305555553</v>
      </c>
      <c r="B179" s="38">
        <v>447.6</v>
      </c>
      <c r="C179" s="3">
        <v>150</v>
      </c>
      <c r="D179" s="3">
        <v>146</v>
      </c>
      <c r="E179" s="47">
        <f t="shared" si="9"/>
        <v>3.0657534246575344</v>
      </c>
      <c r="F179" s="54">
        <f t="shared" si="8"/>
        <v>0.12773972602739728</v>
      </c>
    </row>
    <row r="180" spans="1:6" x14ac:dyDescent="0.25">
      <c r="A180" s="51">
        <v>45844.999305555553</v>
      </c>
      <c r="B180" s="38">
        <v>459.1</v>
      </c>
      <c r="C180" s="3">
        <v>150</v>
      </c>
      <c r="D180" s="3">
        <v>146</v>
      </c>
      <c r="E180" s="47">
        <f t="shared" si="9"/>
        <v>3.1445205479452056</v>
      </c>
      <c r="F180" s="54">
        <f t="shared" si="8"/>
        <v>0.13102168949771689</v>
      </c>
    </row>
    <row r="181" spans="1:6" x14ac:dyDescent="0.25">
      <c r="A181" s="51">
        <v>45845.999305555553</v>
      </c>
      <c r="B181" s="38">
        <v>413.8</v>
      </c>
      <c r="C181" s="3">
        <v>150</v>
      </c>
      <c r="D181" s="3">
        <v>146</v>
      </c>
      <c r="E181" s="47">
        <f t="shared" si="9"/>
        <v>2.8342465753424659</v>
      </c>
      <c r="F181" s="54">
        <f t="shared" si="8"/>
        <v>0.11809360730593607</v>
      </c>
    </row>
    <row r="182" spans="1:6" x14ac:dyDescent="0.25">
      <c r="A182" s="51">
        <v>45846.999305555553</v>
      </c>
      <c r="B182" s="38">
        <v>469.7</v>
      </c>
      <c r="C182" s="3">
        <v>150</v>
      </c>
      <c r="D182" s="3">
        <v>146</v>
      </c>
      <c r="E182" s="47">
        <f t="shared" si="9"/>
        <v>3.217123287671233</v>
      </c>
      <c r="F182" s="54">
        <f t="shared" si="8"/>
        <v>0.13404680365296803</v>
      </c>
    </row>
    <row r="183" spans="1:6" x14ac:dyDescent="0.25">
      <c r="A183" s="51">
        <v>45847.999305555553</v>
      </c>
      <c r="B183" s="38">
        <v>462.9</v>
      </c>
      <c r="C183" s="3">
        <v>150</v>
      </c>
      <c r="D183" s="3">
        <v>146</v>
      </c>
      <c r="E183" s="47">
        <f t="shared" si="9"/>
        <v>3.1705479452054792</v>
      </c>
      <c r="F183" s="54">
        <f t="shared" si="8"/>
        <v>0.13210616438356163</v>
      </c>
    </row>
    <row r="184" spans="1:6" x14ac:dyDescent="0.25">
      <c r="A184" s="51">
        <v>45848.999305555553</v>
      </c>
      <c r="B184" s="38">
        <v>373.3</v>
      </c>
      <c r="C184" s="3">
        <v>150</v>
      </c>
      <c r="D184" s="3">
        <v>146</v>
      </c>
      <c r="E184" s="47">
        <f t="shared" si="9"/>
        <v>2.5568493150684932</v>
      </c>
      <c r="F184" s="54">
        <f t="shared" si="8"/>
        <v>0.10653538812785389</v>
      </c>
    </row>
    <row r="185" spans="1:6" x14ac:dyDescent="0.25">
      <c r="A185" s="51">
        <v>45849.999305555553</v>
      </c>
      <c r="B185" s="38">
        <v>315.39999999999998</v>
      </c>
      <c r="C185" s="3">
        <v>150</v>
      </c>
      <c r="D185" s="3">
        <v>146</v>
      </c>
      <c r="E185" s="47">
        <f t="shared" si="9"/>
        <v>2.1602739726027398</v>
      </c>
      <c r="F185" s="54">
        <f t="shared" si="8"/>
        <v>9.0011415525114144E-2</v>
      </c>
    </row>
    <row r="186" spans="1:6" x14ac:dyDescent="0.25">
      <c r="A186" s="51">
        <v>45850.999305555553</v>
      </c>
      <c r="B186" s="38">
        <v>334</v>
      </c>
      <c r="C186" s="3">
        <v>150</v>
      </c>
      <c r="D186" s="3">
        <v>146</v>
      </c>
      <c r="E186" s="47">
        <f t="shared" si="9"/>
        <v>2.2876712328767121</v>
      </c>
      <c r="F186" s="54">
        <f t="shared" si="8"/>
        <v>9.5319634703196349E-2</v>
      </c>
    </row>
    <row r="187" spans="1:6" x14ac:dyDescent="0.25">
      <c r="A187" s="51">
        <v>45851.999305555553</v>
      </c>
      <c r="B187" s="38">
        <v>350.4</v>
      </c>
      <c r="C187" s="3">
        <v>150</v>
      </c>
      <c r="D187" s="3">
        <v>146</v>
      </c>
      <c r="E187" s="47">
        <f t="shared" si="9"/>
        <v>2.4</v>
      </c>
      <c r="F187" s="54">
        <f t="shared" si="8"/>
        <v>9.9999999999999992E-2</v>
      </c>
    </row>
    <row r="188" spans="1:6" x14ac:dyDescent="0.25">
      <c r="A188" s="51">
        <v>45852.999305555553</v>
      </c>
      <c r="B188" s="38">
        <v>244.6</v>
      </c>
      <c r="C188" s="3">
        <v>150</v>
      </c>
      <c r="D188" s="3">
        <v>146</v>
      </c>
      <c r="E188" s="47">
        <f t="shared" si="9"/>
        <v>1.6753424657534246</v>
      </c>
      <c r="F188" s="54">
        <f t="shared" si="8"/>
        <v>6.9805936073059363E-2</v>
      </c>
    </row>
    <row r="189" spans="1:6" x14ac:dyDescent="0.25">
      <c r="A189" s="51">
        <v>45853.999305555553</v>
      </c>
      <c r="B189" s="38">
        <v>466.6</v>
      </c>
      <c r="C189" s="3">
        <v>150</v>
      </c>
      <c r="D189" s="3">
        <v>146</v>
      </c>
      <c r="E189" s="47">
        <f t="shared" si="9"/>
        <v>3.1958904109589041</v>
      </c>
      <c r="F189" s="54">
        <f t="shared" si="8"/>
        <v>0.13316210045662102</v>
      </c>
    </row>
    <row r="190" spans="1:6" x14ac:dyDescent="0.25">
      <c r="A190" s="51">
        <v>45854.999305555553</v>
      </c>
      <c r="B190" s="38">
        <v>463.5</v>
      </c>
      <c r="C190" s="3">
        <v>150</v>
      </c>
      <c r="D190" s="3">
        <v>146</v>
      </c>
      <c r="E190" s="47">
        <f t="shared" si="9"/>
        <v>3.1746575342465753</v>
      </c>
      <c r="F190" s="54">
        <f t="shared" si="8"/>
        <v>0.13227739726027396</v>
      </c>
    </row>
    <row r="191" spans="1:6" x14ac:dyDescent="0.25">
      <c r="A191" s="51">
        <v>45855.999305555553</v>
      </c>
      <c r="B191" s="38">
        <v>461.6</v>
      </c>
      <c r="C191" s="3">
        <v>150</v>
      </c>
      <c r="D191" s="3">
        <v>146</v>
      </c>
      <c r="E191" s="47">
        <f t="shared" si="9"/>
        <v>3.1616438356164385</v>
      </c>
      <c r="F191" s="54">
        <f t="shared" si="8"/>
        <v>0.13173515981735159</v>
      </c>
    </row>
    <row r="192" spans="1:6" x14ac:dyDescent="0.25">
      <c r="A192" s="51">
        <v>45856.999305555553</v>
      </c>
      <c r="B192" s="38">
        <v>458.7</v>
      </c>
      <c r="C192" s="3">
        <v>150</v>
      </c>
      <c r="D192" s="3">
        <v>146</v>
      </c>
      <c r="E192" s="47">
        <f t="shared" si="9"/>
        <v>3.1417808219178083</v>
      </c>
      <c r="F192" s="54">
        <f t="shared" si="8"/>
        <v>0.13090753424657534</v>
      </c>
    </row>
    <row r="193" spans="1:6" x14ac:dyDescent="0.25">
      <c r="A193" s="51">
        <v>45857.999305555553</v>
      </c>
      <c r="B193" s="38">
        <v>447.3</v>
      </c>
      <c r="C193" s="3">
        <v>150</v>
      </c>
      <c r="D193" s="3">
        <v>146</v>
      </c>
      <c r="E193" s="47">
        <f t="shared" si="9"/>
        <v>3.0636986301369862</v>
      </c>
      <c r="F193" s="54">
        <f t="shared" si="8"/>
        <v>0.12765410958904111</v>
      </c>
    </row>
    <row r="194" spans="1:6" x14ac:dyDescent="0.25">
      <c r="A194" s="51">
        <v>45858.999305555553</v>
      </c>
      <c r="B194" s="38">
        <v>457.2</v>
      </c>
      <c r="C194" s="3">
        <v>150</v>
      </c>
      <c r="D194" s="3">
        <v>146</v>
      </c>
      <c r="E194" s="47">
        <f t="shared" si="9"/>
        <v>3.1315068493150684</v>
      </c>
      <c r="F194" s="54">
        <f t="shared" si="8"/>
        <v>0.13047945205479453</v>
      </c>
    </row>
    <row r="195" spans="1:6" x14ac:dyDescent="0.25">
      <c r="A195" s="51">
        <v>45859.999305555553</v>
      </c>
      <c r="B195" s="38">
        <v>444.6</v>
      </c>
      <c r="C195" s="3">
        <v>150</v>
      </c>
      <c r="D195" s="3">
        <v>146</v>
      </c>
      <c r="E195" s="47">
        <f t="shared" si="9"/>
        <v>3.0452054794520551</v>
      </c>
      <c r="F195" s="54">
        <f t="shared" si="8"/>
        <v>0.12688356164383563</v>
      </c>
    </row>
    <row r="196" spans="1:6" x14ac:dyDescent="0.25">
      <c r="A196" s="51">
        <v>45860.999305555553</v>
      </c>
      <c r="B196" s="38">
        <v>423.3</v>
      </c>
      <c r="C196" s="3">
        <v>150</v>
      </c>
      <c r="D196" s="3">
        <v>146</v>
      </c>
      <c r="E196" s="47">
        <f t="shared" si="9"/>
        <v>2.8993150684931508</v>
      </c>
      <c r="F196" s="54">
        <f t="shared" si="8"/>
        <v>0.12080479452054795</v>
      </c>
    </row>
    <row r="197" spans="1:6" x14ac:dyDescent="0.25">
      <c r="A197" s="51">
        <v>45861.999305555553</v>
      </c>
      <c r="B197" s="38">
        <v>432.4</v>
      </c>
      <c r="C197" s="3">
        <v>150</v>
      </c>
      <c r="D197" s="3">
        <v>146</v>
      </c>
      <c r="E197" s="47">
        <f t="shared" si="9"/>
        <v>2.9616438356164383</v>
      </c>
      <c r="F197" s="54">
        <f t="shared" si="8"/>
        <v>0.12340182648401826</v>
      </c>
    </row>
    <row r="198" spans="1:6" x14ac:dyDescent="0.25">
      <c r="A198" s="51">
        <v>45862.999305555553</v>
      </c>
      <c r="B198" s="38">
        <v>444.5</v>
      </c>
      <c r="C198" s="3">
        <v>150</v>
      </c>
      <c r="D198" s="3">
        <v>146</v>
      </c>
      <c r="E198" s="47">
        <f t="shared" si="9"/>
        <v>3.0445205479452055</v>
      </c>
      <c r="F198" s="54">
        <f t="shared" si="8"/>
        <v>0.12685502283105024</v>
      </c>
    </row>
    <row r="199" spans="1:6" x14ac:dyDescent="0.25">
      <c r="A199" s="51">
        <v>45863.999305555553</v>
      </c>
      <c r="B199" s="38">
        <v>446.1</v>
      </c>
      <c r="C199" s="3">
        <v>150</v>
      </c>
      <c r="D199" s="3">
        <v>146</v>
      </c>
      <c r="E199" s="47">
        <f t="shared" si="9"/>
        <v>3.0554794520547945</v>
      </c>
      <c r="F199" s="54">
        <f t="shared" si="8"/>
        <v>0.12731164383561644</v>
      </c>
    </row>
    <row r="200" spans="1:6" x14ac:dyDescent="0.25">
      <c r="A200" s="51">
        <v>45864.999305555553</v>
      </c>
      <c r="B200" s="38">
        <v>481.6</v>
      </c>
      <c r="C200" s="3">
        <v>150</v>
      </c>
      <c r="D200" s="3">
        <v>146</v>
      </c>
      <c r="E200" s="47">
        <f t="shared" si="9"/>
        <v>3.2986301369863016</v>
      </c>
      <c r="F200" s="54">
        <f t="shared" si="8"/>
        <v>0.13744292237442923</v>
      </c>
    </row>
    <row r="201" spans="1:6" x14ac:dyDescent="0.25">
      <c r="A201" s="51">
        <v>45865.999305555553</v>
      </c>
      <c r="B201" s="38">
        <v>501.4</v>
      </c>
      <c r="C201" s="3">
        <v>150</v>
      </c>
      <c r="D201" s="3">
        <v>146</v>
      </c>
      <c r="E201" s="47">
        <f t="shared" si="9"/>
        <v>3.4342465753424656</v>
      </c>
      <c r="F201" s="54">
        <f t="shared" si="8"/>
        <v>0.14309360730593607</v>
      </c>
    </row>
    <row r="202" spans="1:6" x14ac:dyDescent="0.25">
      <c r="A202" s="51">
        <v>45866.999305555553</v>
      </c>
      <c r="B202" s="38">
        <v>450.8</v>
      </c>
      <c r="C202" s="3">
        <v>150</v>
      </c>
      <c r="D202" s="3">
        <v>146</v>
      </c>
      <c r="E202" s="47">
        <f t="shared" si="9"/>
        <v>3.0876712328767124</v>
      </c>
      <c r="F202" s="54">
        <f t="shared" si="8"/>
        <v>0.12865296803652967</v>
      </c>
    </row>
    <row r="203" spans="1:6" x14ac:dyDescent="0.25">
      <c r="A203" s="51">
        <v>45867.999305555553</v>
      </c>
      <c r="B203" s="38">
        <v>503.4</v>
      </c>
      <c r="C203" s="3">
        <v>150</v>
      </c>
      <c r="D203" s="3">
        <v>146</v>
      </c>
      <c r="E203" s="47">
        <f t="shared" si="9"/>
        <v>3.4479452054794519</v>
      </c>
      <c r="F203" s="54">
        <f t="shared" si="8"/>
        <v>0.14366438356164382</v>
      </c>
    </row>
    <row r="204" spans="1:6" x14ac:dyDescent="0.25">
      <c r="A204" s="51">
        <v>45868.999305555553</v>
      </c>
      <c r="B204" s="38">
        <v>526.6</v>
      </c>
      <c r="C204" s="3">
        <v>150</v>
      </c>
      <c r="D204" s="3">
        <v>146</v>
      </c>
      <c r="E204" s="47">
        <f t="shared" si="9"/>
        <v>3.6068493150684935</v>
      </c>
      <c r="F204" s="54">
        <f t="shared" si="8"/>
        <v>0.15028538812785389</v>
      </c>
    </row>
    <row r="205" spans="1:6" x14ac:dyDescent="0.25">
      <c r="A205" s="51">
        <v>45869.999305555553</v>
      </c>
      <c r="B205" s="38">
        <v>523.9</v>
      </c>
      <c r="C205" s="3">
        <v>150</v>
      </c>
      <c r="D205" s="3">
        <v>146</v>
      </c>
      <c r="E205" s="47">
        <f t="shared" si="9"/>
        <v>3.5883561643835615</v>
      </c>
      <c r="F205" s="54">
        <f t="shared" si="8"/>
        <v>0.14951484018264841</v>
      </c>
    </row>
    <row r="206" spans="1:6" x14ac:dyDescent="0.25">
      <c r="A206" s="51">
        <v>45870.999305555553</v>
      </c>
      <c r="B206" s="38">
        <v>528.9</v>
      </c>
      <c r="C206" s="3">
        <v>150</v>
      </c>
      <c r="D206" s="3">
        <v>146</v>
      </c>
      <c r="E206" s="47">
        <f t="shared" si="9"/>
        <v>3.6226027397260272</v>
      </c>
      <c r="F206" s="54">
        <f t="shared" si="8"/>
        <v>0.15094178082191781</v>
      </c>
    </row>
    <row r="207" spans="1:6" x14ac:dyDescent="0.25">
      <c r="A207" s="51">
        <v>45871.999305555553</v>
      </c>
      <c r="B207" s="38">
        <v>524.20000000000005</v>
      </c>
      <c r="C207" s="3">
        <v>150</v>
      </c>
      <c r="D207" s="3">
        <v>146</v>
      </c>
      <c r="E207" s="47">
        <f t="shared" si="9"/>
        <v>3.5904109589041098</v>
      </c>
      <c r="F207" s="54">
        <f t="shared" si="8"/>
        <v>0.14960045662100457</v>
      </c>
    </row>
    <row r="208" spans="1:6" x14ac:dyDescent="0.25">
      <c r="A208" s="51">
        <v>45872.999305555553</v>
      </c>
      <c r="B208" s="38">
        <v>539.5</v>
      </c>
      <c r="C208" s="3">
        <v>150</v>
      </c>
      <c r="D208" s="3">
        <v>146</v>
      </c>
      <c r="E208" s="47">
        <f t="shared" si="9"/>
        <v>3.6952054794520546</v>
      </c>
      <c r="F208" s="54">
        <f t="shared" si="8"/>
        <v>0.15396689497716895</v>
      </c>
    </row>
    <row r="209" spans="1:6" x14ac:dyDescent="0.25">
      <c r="A209" s="51">
        <v>45873.999305555553</v>
      </c>
      <c r="B209" s="38">
        <v>505.8</v>
      </c>
      <c r="C209" s="3">
        <v>150</v>
      </c>
      <c r="D209" s="3">
        <v>146</v>
      </c>
      <c r="E209" s="47">
        <f t="shared" ref="E209:E272" si="10">B209/D209</f>
        <v>3.4643835616438357</v>
      </c>
      <c r="F209" s="54">
        <f t="shared" ref="F209:F272" si="11">B209/(24*D209)</f>
        <v>0.14434931506849316</v>
      </c>
    </row>
    <row r="210" spans="1:6" x14ac:dyDescent="0.25">
      <c r="A210" s="51">
        <v>45874.999305497688</v>
      </c>
      <c r="B210" s="38">
        <v>261.60000000000002</v>
      </c>
      <c r="C210" s="3">
        <v>150</v>
      </c>
      <c r="D210" s="3">
        <v>146</v>
      </c>
      <c r="E210" s="47">
        <f t="shared" si="10"/>
        <v>1.7917808219178084</v>
      </c>
      <c r="F210" s="54">
        <f t="shared" si="11"/>
        <v>7.4657534246575355E-2</v>
      </c>
    </row>
    <row r="211" spans="1:6" x14ac:dyDescent="0.25">
      <c r="A211" s="51">
        <v>45875.999305497688</v>
      </c>
      <c r="B211" s="38">
        <v>503.3</v>
      </c>
      <c r="C211" s="3">
        <v>150</v>
      </c>
      <c r="D211" s="3">
        <v>146</v>
      </c>
      <c r="E211" s="47">
        <f t="shared" si="10"/>
        <v>3.4472602739726028</v>
      </c>
      <c r="F211" s="54">
        <f t="shared" si="11"/>
        <v>0.14363584474885846</v>
      </c>
    </row>
    <row r="212" spans="1:6" x14ac:dyDescent="0.25">
      <c r="A212" s="51">
        <v>45876.999305497688</v>
      </c>
      <c r="B212" s="38">
        <v>509.3</v>
      </c>
      <c r="C212" s="3">
        <v>150</v>
      </c>
      <c r="D212" s="3">
        <v>146</v>
      </c>
      <c r="E212" s="47">
        <f t="shared" si="10"/>
        <v>3.4883561643835619</v>
      </c>
      <c r="F212" s="54">
        <f t="shared" si="11"/>
        <v>0.14534817351598173</v>
      </c>
    </row>
    <row r="213" spans="1:6" x14ac:dyDescent="0.25">
      <c r="A213" s="51">
        <v>45877.999305497688</v>
      </c>
      <c r="B213" s="38">
        <v>475.5</v>
      </c>
      <c r="C213" s="3">
        <v>150</v>
      </c>
      <c r="D213" s="3">
        <v>146</v>
      </c>
      <c r="E213" s="47">
        <f t="shared" si="10"/>
        <v>3.256849315068493</v>
      </c>
      <c r="F213" s="54">
        <f t="shared" si="11"/>
        <v>0.13570205479452055</v>
      </c>
    </row>
    <row r="214" spans="1:6" x14ac:dyDescent="0.25">
      <c r="A214" s="51">
        <v>45878.999305497688</v>
      </c>
      <c r="B214" s="38">
        <v>449</v>
      </c>
      <c r="C214" s="3">
        <v>150</v>
      </c>
      <c r="D214" s="3">
        <v>146</v>
      </c>
      <c r="E214" s="47">
        <f t="shared" si="10"/>
        <v>3.0753424657534247</v>
      </c>
      <c r="F214" s="54">
        <f t="shared" si="11"/>
        <v>0.1281392694063927</v>
      </c>
    </row>
    <row r="215" spans="1:6" x14ac:dyDescent="0.25">
      <c r="A215" s="51">
        <v>45879.999305497688</v>
      </c>
      <c r="B215" s="38">
        <v>509.6</v>
      </c>
      <c r="C215" s="3">
        <v>150</v>
      </c>
      <c r="D215" s="3">
        <v>146</v>
      </c>
      <c r="E215" s="47">
        <f t="shared" si="10"/>
        <v>3.4904109589041097</v>
      </c>
      <c r="F215" s="54">
        <f t="shared" si="11"/>
        <v>0.14543378995433789</v>
      </c>
    </row>
    <row r="216" spans="1:6" x14ac:dyDescent="0.25">
      <c r="A216" s="51">
        <v>45880.999305497688</v>
      </c>
      <c r="B216" s="38">
        <v>497.9</v>
      </c>
      <c r="C216" s="3">
        <v>150</v>
      </c>
      <c r="D216" s="3">
        <v>146</v>
      </c>
      <c r="E216" s="47">
        <f t="shared" si="10"/>
        <v>3.4102739726027398</v>
      </c>
      <c r="F216" s="54">
        <f t="shared" si="11"/>
        <v>0.14209474885844747</v>
      </c>
    </row>
    <row r="217" spans="1:6" x14ac:dyDescent="0.25">
      <c r="A217" s="51">
        <v>45881.999305497688</v>
      </c>
      <c r="B217" s="38">
        <v>390.6</v>
      </c>
      <c r="C217" s="3">
        <v>150</v>
      </c>
      <c r="D217" s="3">
        <v>146</v>
      </c>
      <c r="E217" s="47">
        <f t="shared" si="10"/>
        <v>2.6753424657534248</v>
      </c>
      <c r="F217" s="54">
        <f t="shared" si="11"/>
        <v>0.11147260273972603</v>
      </c>
    </row>
    <row r="218" spans="1:6" x14ac:dyDescent="0.25">
      <c r="A218" s="51">
        <v>45882.999305497688</v>
      </c>
      <c r="B218" s="38">
        <v>512.29999999999995</v>
      </c>
      <c r="C218" s="3">
        <v>150</v>
      </c>
      <c r="D218" s="3">
        <v>146</v>
      </c>
      <c r="E218" s="47">
        <f t="shared" si="10"/>
        <v>3.5089041095890408</v>
      </c>
      <c r="F218" s="54">
        <f t="shared" si="11"/>
        <v>0.14620433789954337</v>
      </c>
    </row>
    <row r="219" spans="1:6" x14ac:dyDescent="0.25">
      <c r="A219" s="51">
        <v>45883.999305497688</v>
      </c>
      <c r="B219" s="38">
        <v>504.2</v>
      </c>
      <c r="C219" s="3">
        <v>150</v>
      </c>
      <c r="D219" s="3">
        <v>146</v>
      </c>
      <c r="E219" s="47">
        <f t="shared" si="10"/>
        <v>3.4534246575342467</v>
      </c>
      <c r="F219" s="54">
        <f t="shared" si="11"/>
        <v>0.14389269406392693</v>
      </c>
    </row>
    <row r="220" spans="1:6" x14ac:dyDescent="0.25">
      <c r="A220" s="51">
        <v>45884.999305497688</v>
      </c>
      <c r="B220" s="38">
        <v>489.6</v>
      </c>
      <c r="C220" s="3">
        <v>150</v>
      </c>
      <c r="D220" s="3">
        <v>146</v>
      </c>
      <c r="E220" s="47">
        <f t="shared" si="10"/>
        <v>3.3534246575342466</v>
      </c>
      <c r="F220" s="54">
        <f t="shared" si="11"/>
        <v>0.13972602739726028</v>
      </c>
    </row>
    <row r="221" spans="1:6" x14ac:dyDescent="0.25">
      <c r="A221" s="51">
        <v>45885.999305497688</v>
      </c>
      <c r="B221" s="38">
        <v>526.79999999999995</v>
      </c>
      <c r="C221" s="3">
        <v>150</v>
      </c>
      <c r="D221" s="3">
        <v>146</v>
      </c>
      <c r="E221" s="47">
        <f t="shared" si="10"/>
        <v>3.6082191780821913</v>
      </c>
      <c r="F221" s="54">
        <f t="shared" si="11"/>
        <v>0.15034246575342464</v>
      </c>
    </row>
    <row r="222" spans="1:6" x14ac:dyDescent="0.25">
      <c r="A222" s="51">
        <v>45886.999305497688</v>
      </c>
      <c r="B222" s="38">
        <v>519.1</v>
      </c>
      <c r="C222" s="3">
        <v>150</v>
      </c>
      <c r="D222" s="3">
        <v>146</v>
      </c>
      <c r="E222" s="47">
        <f t="shared" si="10"/>
        <v>3.5554794520547945</v>
      </c>
      <c r="F222" s="54">
        <f t="shared" si="11"/>
        <v>0.14814497716894978</v>
      </c>
    </row>
    <row r="223" spans="1:6" x14ac:dyDescent="0.25">
      <c r="A223" s="51">
        <v>45887.999305497688</v>
      </c>
      <c r="B223" s="38">
        <v>487.5</v>
      </c>
      <c r="C223" s="3">
        <v>150</v>
      </c>
      <c r="D223" s="3">
        <v>146</v>
      </c>
      <c r="E223" s="47">
        <f t="shared" si="10"/>
        <v>3.3390410958904111</v>
      </c>
      <c r="F223" s="54">
        <f t="shared" si="11"/>
        <v>0.13912671232876711</v>
      </c>
    </row>
    <row r="224" spans="1:6" x14ac:dyDescent="0.25">
      <c r="A224" s="51">
        <v>45888.999305497688</v>
      </c>
      <c r="B224" s="38">
        <v>492.9</v>
      </c>
      <c r="C224" s="3">
        <v>150</v>
      </c>
      <c r="D224" s="3">
        <v>146</v>
      </c>
      <c r="E224" s="47">
        <f t="shared" si="10"/>
        <v>3.3760273972602737</v>
      </c>
      <c r="F224" s="54">
        <f t="shared" si="11"/>
        <v>0.14066780821917807</v>
      </c>
    </row>
    <row r="225" spans="1:6" x14ac:dyDescent="0.25">
      <c r="A225" s="51">
        <v>45889.999305497688</v>
      </c>
      <c r="B225" s="38">
        <v>512.4</v>
      </c>
      <c r="C225" s="3">
        <v>150</v>
      </c>
      <c r="D225" s="3">
        <v>146</v>
      </c>
      <c r="E225" s="47">
        <f t="shared" si="10"/>
        <v>3.5095890410958903</v>
      </c>
      <c r="F225" s="54">
        <f t="shared" si="11"/>
        <v>0.14623287671232876</v>
      </c>
    </row>
    <row r="226" spans="1:6" x14ac:dyDescent="0.25">
      <c r="A226" s="51">
        <v>45890.999305497688</v>
      </c>
      <c r="B226" s="38">
        <v>478.7</v>
      </c>
      <c r="C226" s="3">
        <v>150</v>
      </c>
      <c r="D226" s="3">
        <v>146</v>
      </c>
      <c r="E226" s="47">
        <f t="shared" si="10"/>
        <v>3.2787671232876709</v>
      </c>
      <c r="F226" s="54">
        <f t="shared" si="11"/>
        <v>0.13661529680365297</v>
      </c>
    </row>
    <row r="227" spans="1:6" x14ac:dyDescent="0.25">
      <c r="A227" s="51">
        <v>45891.999305497688</v>
      </c>
      <c r="B227" s="38">
        <v>557.29999999999995</v>
      </c>
      <c r="C227" s="3">
        <v>150</v>
      </c>
      <c r="D227" s="3">
        <v>146</v>
      </c>
      <c r="E227" s="47">
        <f t="shared" si="10"/>
        <v>3.8171232876712327</v>
      </c>
      <c r="F227" s="54">
        <f t="shared" si="11"/>
        <v>0.15904680365296803</v>
      </c>
    </row>
    <row r="228" spans="1:6" x14ac:dyDescent="0.25">
      <c r="A228" s="51">
        <v>45892.999305497688</v>
      </c>
      <c r="B228" s="38">
        <v>521</v>
      </c>
      <c r="C228" s="3">
        <v>150</v>
      </c>
      <c r="D228" s="3">
        <v>146</v>
      </c>
      <c r="E228" s="47">
        <f t="shared" si="10"/>
        <v>3.5684931506849313</v>
      </c>
      <c r="F228" s="54">
        <f t="shared" si="11"/>
        <v>0.14868721461187215</v>
      </c>
    </row>
    <row r="229" spans="1:6" x14ac:dyDescent="0.25">
      <c r="A229" s="51">
        <v>45893.999305497688</v>
      </c>
      <c r="B229" s="38">
        <v>549.29999999999995</v>
      </c>
      <c r="C229" s="3">
        <v>150</v>
      </c>
      <c r="D229" s="3">
        <v>146</v>
      </c>
      <c r="E229" s="47">
        <f t="shared" si="10"/>
        <v>3.7623287671232872</v>
      </c>
      <c r="F229" s="54">
        <f t="shared" si="11"/>
        <v>0.15676369863013698</v>
      </c>
    </row>
    <row r="230" spans="1:6" x14ac:dyDescent="0.25">
      <c r="A230" s="51">
        <v>45894.999305497688</v>
      </c>
      <c r="B230" s="38">
        <v>562.1</v>
      </c>
      <c r="C230" s="3">
        <v>150</v>
      </c>
      <c r="D230" s="3">
        <v>146</v>
      </c>
      <c r="E230" s="47">
        <f t="shared" si="10"/>
        <v>3.85</v>
      </c>
      <c r="F230" s="54">
        <f t="shared" si="11"/>
        <v>0.16041666666666668</v>
      </c>
    </row>
    <row r="231" spans="1:6" x14ac:dyDescent="0.25">
      <c r="A231" s="51">
        <v>45895.999305497688</v>
      </c>
      <c r="B231" s="38">
        <v>558.9</v>
      </c>
      <c r="C231" s="3">
        <v>150</v>
      </c>
      <c r="D231" s="3">
        <v>146</v>
      </c>
      <c r="E231" s="47">
        <f t="shared" si="10"/>
        <v>3.8280821917808217</v>
      </c>
      <c r="F231" s="54">
        <f t="shared" si="11"/>
        <v>0.15950342465753423</v>
      </c>
    </row>
    <row r="232" spans="1:6" x14ac:dyDescent="0.25">
      <c r="A232" s="51">
        <v>45896.999305497688</v>
      </c>
      <c r="B232" s="38">
        <v>542.20000000000005</v>
      </c>
      <c r="C232" s="3">
        <v>150</v>
      </c>
      <c r="D232" s="3">
        <v>146</v>
      </c>
      <c r="E232" s="47">
        <f t="shared" si="10"/>
        <v>3.7136986301369865</v>
      </c>
      <c r="F232" s="54">
        <f t="shared" si="11"/>
        <v>0.15473744292237443</v>
      </c>
    </row>
    <row r="233" spans="1:6" x14ac:dyDescent="0.25">
      <c r="A233" s="51">
        <v>45897.999305497688</v>
      </c>
      <c r="B233" s="38">
        <v>421.9</v>
      </c>
      <c r="C233" s="3">
        <v>150</v>
      </c>
      <c r="D233" s="3">
        <v>146</v>
      </c>
      <c r="E233" s="47">
        <f t="shared" si="10"/>
        <v>2.88972602739726</v>
      </c>
      <c r="F233" s="54">
        <f t="shared" si="11"/>
        <v>0.12040525114155251</v>
      </c>
    </row>
    <row r="234" spans="1:6" x14ac:dyDescent="0.25">
      <c r="A234" s="51">
        <v>45898.999305497688</v>
      </c>
      <c r="B234" s="38">
        <v>424.8</v>
      </c>
      <c r="C234" s="3">
        <v>150</v>
      </c>
      <c r="D234" s="3">
        <v>146</v>
      </c>
      <c r="E234" s="47">
        <f t="shared" si="10"/>
        <v>2.9095890410958907</v>
      </c>
      <c r="F234" s="54">
        <f t="shared" si="11"/>
        <v>0.12123287671232877</v>
      </c>
    </row>
    <row r="235" spans="1:6" x14ac:dyDescent="0.25">
      <c r="A235" s="51">
        <v>45899.999305497688</v>
      </c>
      <c r="B235" s="38">
        <v>377.9</v>
      </c>
      <c r="C235" s="3">
        <v>150</v>
      </c>
      <c r="D235" s="3">
        <v>146</v>
      </c>
      <c r="E235" s="47">
        <f t="shared" si="10"/>
        <v>2.5883561643835615</v>
      </c>
      <c r="F235" s="54">
        <f t="shared" si="11"/>
        <v>0.10784817351598174</v>
      </c>
    </row>
    <row r="236" spans="1:6" x14ac:dyDescent="0.25">
      <c r="A236" s="51">
        <v>45900.999305497688</v>
      </c>
      <c r="B236" s="38">
        <v>488.5</v>
      </c>
      <c r="C236" s="3">
        <v>150</v>
      </c>
      <c r="D236" s="3">
        <v>146</v>
      </c>
      <c r="E236" s="47">
        <f t="shared" si="10"/>
        <v>3.345890410958904</v>
      </c>
      <c r="F236" s="54">
        <f t="shared" si="11"/>
        <v>0.139412100456621</v>
      </c>
    </row>
    <row r="237" spans="1:6" x14ac:dyDescent="0.25">
      <c r="A237" s="51">
        <v>45901.999305497688</v>
      </c>
      <c r="B237" s="38">
        <v>415</v>
      </c>
      <c r="C237" s="3">
        <v>150</v>
      </c>
      <c r="D237" s="3">
        <v>146</v>
      </c>
      <c r="E237" s="47">
        <f t="shared" si="10"/>
        <v>2.8424657534246576</v>
      </c>
      <c r="F237" s="54">
        <f t="shared" si="11"/>
        <v>0.11843607305936073</v>
      </c>
    </row>
    <row r="238" spans="1:6" x14ac:dyDescent="0.25">
      <c r="A238" s="51">
        <v>45902.999305497688</v>
      </c>
      <c r="B238" s="38">
        <v>363.9</v>
      </c>
      <c r="C238" s="3">
        <v>150</v>
      </c>
      <c r="D238" s="3">
        <v>146</v>
      </c>
      <c r="E238" s="47">
        <f t="shared" si="10"/>
        <v>2.4924657534246575</v>
      </c>
      <c r="F238" s="54">
        <f t="shared" si="11"/>
        <v>0.10385273972602739</v>
      </c>
    </row>
    <row r="239" spans="1:6" x14ac:dyDescent="0.25">
      <c r="A239" s="51">
        <v>45903.999305497688</v>
      </c>
      <c r="B239" s="38">
        <v>542.70000000000005</v>
      </c>
      <c r="C239" s="3">
        <v>150</v>
      </c>
      <c r="D239" s="3">
        <v>146</v>
      </c>
      <c r="E239" s="47">
        <f t="shared" si="10"/>
        <v>3.717123287671233</v>
      </c>
      <c r="F239" s="54">
        <f t="shared" si="11"/>
        <v>0.15488013698630138</v>
      </c>
    </row>
    <row r="240" spans="1:6" x14ac:dyDescent="0.25">
      <c r="A240" s="51">
        <v>45904.999305497688</v>
      </c>
      <c r="B240" s="38">
        <v>635.1</v>
      </c>
      <c r="C240" s="3">
        <v>150</v>
      </c>
      <c r="D240" s="3">
        <v>146</v>
      </c>
      <c r="E240" s="47">
        <f t="shared" si="10"/>
        <v>4.3500000000000005</v>
      </c>
      <c r="F240" s="54">
        <f t="shared" si="11"/>
        <v>0.18124999999999999</v>
      </c>
    </row>
    <row r="241" spans="1:6" x14ac:dyDescent="0.25">
      <c r="A241" s="51">
        <v>45905.999305497688</v>
      </c>
      <c r="B241" s="38">
        <v>642.5</v>
      </c>
      <c r="C241" s="3">
        <v>150</v>
      </c>
      <c r="D241" s="3">
        <v>146</v>
      </c>
      <c r="E241" s="47">
        <f t="shared" si="10"/>
        <v>4.4006849315068495</v>
      </c>
      <c r="F241" s="54">
        <f t="shared" si="11"/>
        <v>0.18336187214611871</v>
      </c>
    </row>
    <row r="242" spans="1:6" x14ac:dyDescent="0.25">
      <c r="A242" s="51">
        <v>45906.999305497688</v>
      </c>
      <c r="B242" s="38">
        <v>615.4</v>
      </c>
      <c r="C242" s="3">
        <v>150</v>
      </c>
      <c r="D242" s="3">
        <v>146</v>
      </c>
      <c r="E242" s="47">
        <f t="shared" si="10"/>
        <v>4.2150684931506852</v>
      </c>
      <c r="F242" s="54">
        <f t="shared" si="11"/>
        <v>0.17562785388127852</v>
      </c>
    </row>
    <row r="243" spans="1:6" x14ac:dyDescent="0.25">
      <c r="A243" s="51">
        <v>45907.999305497688</v>
      </c>
      <c r="B243" s="38">
        <v>618.9</v>
      </c>
      <c r="C243" s="3">
        <v>150</v>
      </c>
      <c r="D243" s="3">
        <v>146</v>
      </c>
      <c r="E243" s="47">
        <f t="shared" si="10"/>
        <v>4.2390410958904106</v>
      </c>
      <c r="F243" s="54">
        <f t="shared" si="11"/>
        <v>0.17662671232876712</v>
      </c>
    </row>
    <row r="244" spans="1:6" x14ac:dyDescent="0.25">
      <c r="A244" s="51">
        <v>45908.999305497688</v>
      </c>
      <c r="B244" s="38">
        <v>600.5</v>
      </c>
      <c r="C244" s="3">
        <v>150</v>
      </c>
      <c r="D244" s="3">
        <v>146</v>
      </c>
      <c r="E244" s="47">
        <f t="shared" si="10"/>
        <v>4.1130136986301373</v>
      </c>
      <c r="F244" s="54">
        <f t="shared" si="11"/>
        <v>0.1713755707762557</v>
      </c>
    </row>
    <row r="245" spans="1:6" x14ac:dyDescent="0.25">
      <c r="A245" s="51">
        <v>45909.999305497688</v>
      </c>
      <c r="B245" s="38">
        <v>629.6</v>
      </c>
      <c r="C245" s="3">
        <v>150</v>
      </c>
      <c r="D245" s="3">
        <v>146</v>
      </c>
      <c r="E245" s="47">
        <f t="shared" si="10"/>
        <v>4.3123287671232875</v>
      </c>
      <c r="F245" s="54">
        <f t="shared" si="11"/>
        <v>0.17968036529680365</v>
      </c>
    </row>
    <row r="246" spans="1:6" x14ac:dyDescent="0.25">
      <c r="A246" s="51">
        <v>45910.999305497688</v>
      </c>
      <c r="B246" s="38">
        <v>620.20000000000005</v>
      </c>
      <c r="C246" s="3">
        <v>150</v>
      </c>
      <c r="D246" s="3">
        <v>146</v>
      </c>
      <c r="E246" s="47">
        <f t="shared" si="10"/>
        <v>4.2479452054794526</v>
      </c>
      <c r="F246" s="54">
        <f t="shared" si="11"/>
        <v>0.17699771689497718</v>
      </c>
    </row>
    <row r="247" spans="1:6" x14ac:dyDescent="0.25">
      <c r="A247" s="51">
        <v>45911.999305497688</v>
      </c>
      <c r="B247" s="38">
        <v>635.5</v>
      </c>
      <c r="C247" s="3">
        <v>150</v>
      </c>
      <c r="D247" s="3">
        <v>146</v>
      </c>
      <c r="E247" s="47">
        <f t="shared" si="10"/>
        <v>4.352739726027397</v>
      </c>
      <c r="F247" s="54">
        <f t="shared" si="11"/>
        <v>0.18136415525114155</v>
      </c>
    </row>
    <row r="248" spans="1:6" x14ac:dyDescent="0.25">
      <c r="A248" s="51">
        <v>45912.999305497688</v>
      </c>
      <c r="B248" s="38">
        <v>616.6</v>
      </c>
      <c r="C248" s="3">
        <v>150</v>
      </c>
      <c r="D248" s="3">
        <v>146</v>
      </c>
      <c r="E248" s="47">
        <f t="shared" si="10"/>
        <v>4.2232876712328773</v>
      </c>
      <c r="F248" s="54">
        <f t="shared" si="11"/>
        <v>0.17597031963470319</v>
      </c>
    </row>
    <row r="249" spans="1:6" x14ac:dyDescent="0.25">
      <c r="A249" s="51">
        <v>45913.999305497688</v>
      </c>
      <c r="B249" s="38">
        <v>553.79999999999995</v>
      </c>
      <c r="C249" s="3">
        <v>150</v>
      </c>
      <c r="D249" s="3">
        <v>146</v>
      </c>
      <c r="E249" s="47">
        <f t="shared" si="10"/>
        <v>3.7931506849315064</v>
      </c>
      <c r="F249" s="54">
        <f t="shared" si="11"/>
        <v>0.15804794520547943</v>
      </c>
    </row>
    <row r="250" spans="1:6" x14ac:dyDescent="0.25">
      <c r="A250" s="51">
        <v>45914.999305497688</v>
      </c>
      <c r="B250" s="38">
        <v>470.7</v>
      </c>
      <c r="C250" s="3">
        <v>150</v>
      </c>
      <c r="D250" s="3">
        <v>146</v>
      </c>
      <c r="E250" s="47">
        <f t="shared" si="10"/>
        <v>3.223972602739726</v>
      </c>
      <c r="F250" s="54">
        <f t="shared" si="11"/>
        <v>0.13433219178082192</v>
      </c>
    </row>
    <row r="251" spans="1:6" x14ac:dyDescent="0.25">
      <c r="A251" s="51">
        <v>45915.999305497688</v>
      </c>
      <c r="B251" s="38">
        <v>498.9</v>
      </c>
      <c r="C251" s="3">
        <v>150</v>
      </c>
      <c r="D251" s="3">
        <v>146</v>
      </c>
      <c r="E251" s="47">
        <f t="shared" si="10"/>
        <v>3.4171232876712327</v>
      </c>
      <c r="F251" s="54">
        <f t="shared" si="11"/>
        <v>0.14238013698630136</v>
      </c>
    </row>
    <row r="252" spans="1:6" x14ac:dyDescent="0.25">
      <c r="A252" s="51">
        <v>45916.999305497688</v>
      </c>
      <c r="B252" s="38">
        <v>640.5</v>
      </c>
      <c r="C252" s="3">
        <v>150</v>
      </c>
      <c r="D252" s="3">
        <v>146</v>
      </c>
      <c r="E252" s="47">
        <f t="shared" si="10"/>
        <v>4.3869863013698627</v>
      </c>
      <c r="F252" s="54">
        <f t="shared" si="11"/>
        <v>0.18279109589041095</v>
      </c>
    </row>
    <row r="253" spans="1:6" x14ac:dyDescent="0.25">
      <c r="A253" s="51">
        <v>45917.999305497688</v>
      </c>
      <c r="B253" s="38">
        <v>584.79999999999995</v>
      </c>
      <c r="C253" s="3">
        <v>150</v>
      </c>
      <c r="D253" s="3">
        <v>146</v>
      </c>
      <c r="E253" s="47">
        <f t="shared" si="10"/>
        <v>4.0054794520547938</v>
      </c>
      <c r="F253" s="54">
        <f t="shared" si="11"/>
        <v>0.16689497716894977</v>
      </c>
    </row>
    <row r="254" spans="1:6" x14ac:dyDescent="0.25">
      <c r="A254" s="51">
        <v>45918.999305497688</v>
      </c>
      <c r="B254" s="38">
        <v>633.20000000000005</v>
      </c>
      <c r="C254" s="3">
        <v>150</v>
      </c>
      <c r="D254" s="3">
        <v>146</v>
      </c>
      <c r="E254" s="47">
        <f t="shared" si="10"/>
        <v>4.3369863013698637</v>
      </c>
      <c r="F254" s="54">
        <f t="shared" si="11"/>
        <v>0.18070776255707763</v>
      </c>
    </row>
    <row r="255" spans="1:6" x14ac:dyDescent="0.25">
      <c r="A255" s="51">
        <v>45919.999305497688</v>
      </c>
      <c r="B255" s="38">
        <v>587.1</v>
      </c>
      <c r="C255" s="3">
        <v>150</v>
      </c>
      <c r="D255" s="3">
        <v>146</v>
      </c>
      <c r="E255" s="47">
        <f t="shared" si="10"/>
        <v>4.0212328767123289</v>
      </c>
      <c r="F255" s="54">
        <f t="shared" si="11"/>
        <v>0.16755136986301369</v>
      </c>
    </row>
    <row r="256" spans="1:6" x14ac:dyDescent="0.25">
      <c r="A256" s="51">
        <v>45920.999305497688</v>
      </c>
      <c r="B256" s="38">
        <v>560</v>
      </c>
      <c r="C256" s="3">
        <v>150</v>
      </c>
      <c r="D256" s="3">
        <v>146</v>
      </c>
      <c r="E256" s="47">
        <f t="shared" si="10"/>
        <v>3.8356164383561642</v>
      </c>
      <c r="F256" s="54">
        <f t="shared" si="11"/>
        <v>0.15981735159817351</v>
      </c>
    </row>
    <row r="257" spans="1:6" x14ac:dyDescent="0.25">
      <c r="A257" s="51">
        <v>45921.999305497688</v>
      </c>
      <c r="B257" s="38">
        <v>581</v>
      </c>
      <c r="C257" s="3">
        <v>150</v>
      </c>
      <c r="D257" s="3">
        <v>146</v>
      </c>
      <c r="E257" s="47">
        <f t="shared" si="10"/>
        <v>3.9794520547945207</v>
      </c>
      <c r="F257" s="54">
        <f t="shared" si="11"/>
        <v>0.16581050228310501</v>
      </c>
    </row>
    <row r="258" spans="1:6" x14ac:dyDescent="0.25">
      <c r="A258" s="51">
        <v>45922.999305497688</v>
      </c>
      <c r="B258" s="38">
        <v>471.7</v>
      </c>
      <c r="C258" s="3">
        <v>150</v>
      </c>
      <c r="D258" s="3">
        <v>146</v>
      </c>
      <c r="E258" s="47">
        <f t="shared" si="10"/>
        <v>3.2308219178082189</v>
      </c>
      <c r="F258" s="54">
        <f t="shared" si="11"/>
        <v>0.13461757990867579</v>
      </c>
    </row>
    <row r="259" spans="1:6" x14ac:dyDescent="0.25">
      <c r="A259" s="51">
        <v>45923.999305497688</v>
      </c>
      <c r="B259" s="38">
        <v>382.7</v>
      </c>
      <c r="C259" s="3">
        <v>150</v>
      </c>
      <c r="D259" s="3">
        <v>146</v>
      </c>
      <c r="E259" s="47">
        <f t="shared" si="10"/>
        <v>2.6212328767123285</v>
      </c>
      <c r="F259" s="54">
        <f t="shared" si="11"/>
        <v>0.10921803652968036</v>
      </c>
    </row>
    <row r="260" spans="1:6" x14ac:dyDescent="0.25">
      <c r="A260" s="51">
        <v>45924.999305497688</v>
      </c>
      <c r="B260" s="38">
        <v>363.8</v>
      </c>
      <c r="C260" s="3">
        <v>150</v>
      </c>
      <c r="D260" s="3">
        <v>146</v>
      </c>
      <c r="E260" s="47">
        <f t="shared" si="10"/>
        <v>2.4917808219178084</v>
      </c>
      <c r="F260" s="54">
        <f t="shared" si="11"/>
        <v>0.10382420091324202</v>
      </c>
    </row>
    <row r="261" spans="1:6" x14ac:dyDescent="0.25">
      <c r="A261" s="51">
        <v>45925.999305497688</v>
      </c>
      <c r="B261" s="38">
        <v>314.3</v>
      </c>
      <c r="C261" s="3">
        <v>150</v>
      </c>
      <c r="D261" s="3">
        <v>146</v>
      </c>
      <c r="E261" s="47">
        <f t="shared" si="10"/>
        <v>2.1527397260273973</v>
      </c>
      <c r="F261" s="54">
        <f t="shared" si="11"/>
        <v>8.9697488584474891E-2</v>
      </c>
    </row>
    <row r="262" spans="1:6" x14ac:dyDescent="0.25">
      <c r="A262" s="51">
        <v>45926.999305497688</v>
      </c>
      <c r="B262" s="38">
        <v>534</v>
      </c>
      <c r="C262" s="3">
        <v>150</v>
      </c>
      <c r="D262" s="3">
        <v>146</v>
      </c>
      <c r="E262" s="47">
        <f t="shared" si="10"/>
        <v>3.6575342465753424</v>
      </c>
      <c r="F262" s="54">
        <f t="shared" si="11"/>
        <v>0.1523972602739726</v>
      </c>
    </row>
    <row r="263" spans="1:6" x14ac:dyDescent="0.25">
      <c r="A263" s="51">
        <v>45927.999305497688</v>
      </c>
      <c r="B263" s="38">
        <v>673.2</v>
      </c>
      <c r="C263" s="3">
        <v>150</v>
      </c>
      <c r="D263" s="3">
        <v>146</v>
      </c>
      <c r="E263" s="47">
        <f t="shared" si="10"/>
        <v>4.6109589041095891</v>
      </c>
      <c r="F263" s="54">
        <f t="shared" si="11"/>
        <v>0.19212328767123288</v>
      </c>
    </row>
    <row r="264" spans="1:6" x14ac:dyDescent="0.25">
      <c r="A264" s="51">
        <v>45928.999305497688</v>
      </c>
      <c r="B264" s="38">
        <v>661.1</v>
      </c>
      <c r="C264" s="3">
        <v>150</v>
      </c>
      <c r="D264" s="3">
        <v>146</v>
      </c>
      <c r="E264" s="47">
        <f t="shared" si="10"/>
        <v>4.5280821917808218</v>
      </c>
      <c r="F264" s="54">
        <f t="shared" si="11"/>
        <v>0.18867009132420093</v>
      </c>
    </row>
    <row r="265" spans="1:6" x14ac:dyDescent="0.25">
      <c r="A265" s="51">
        <v>45929.999305497688</v>
      </c>
      <c r="B265" s="38">
        <v>609.20000000000005</v>
      </c>
      <c r="C265" s="3">
        <v>150</v>
      </c>
      <c r="D265" s="3">
        <v>146</v>
      </c>
      <c r="E265" s="47">
        <f t="shared" si="10"/>
        <v>4.1726027397260275</v>
      </c>
      <c r="F265" s="54">
        <f t="shared" si="11"/>
        <v>0.17385844748858448</v>
      </c>
    </row>
    <row r="266" spans="1:6" x14ac:dyDescent="0.25">
      <c r="A266" s="51">
        <v>45930.999305497688</v>
      </c>
      <c r="B266" s="38">
        <v>644.9</v>
      </c>
      <c r="C266" s="3">
        <v>150</v>
      </c>
      <c r="D266" s="3">
        <v>146</v>
      </c>
      <c r="E266" s="47">
        <f t="shared" si="10"/>
        <v>4.4171232876712327</v>
      </c>
      <c r="F266" s="54">
        <f t="shared" si="11"/>
        <v>0.18404680365296802</v>
      </c>
    </row>
    <row r="267" spans="1:6" x14ac:dyDescent="0.25">
      <c r="A267" s="51">
        <v>45931.999305497688</v>
      </c>
      <c r="B267">
        <v>662.7</v>
      </c>
      <c r="C267" s="3">
        <v>150</v>
      </c>
      <c r="D267" s="3">
        <v>146</v>
      </c>
      <c r="E267" s="47">
        <f t="shared" si="10"/>
        <v>4.5390410958904113</v>
      </c>
      <c r="F267" s="54">
        <f t="shared" si="11"/>
        <v>0.18912671232876713</v>
      </c>
    </row>
    <row r="268" spans="1:6" x14ac:dyDescent="0.25">
      <c r="A268" s="51">
        <v>45932.999305497688</v>
      </c>
      <c r="B268">
        <v>617.5</v>
      </c>
      <c r="C268" s="3">
        <v>150</v>
      </c>
      <c r="D268" s="3">
        <v>146</v>
      </c>
      <c r="E268" s="47">
        <f t="shared" si="10"/>
        <v>4.2294520547945202</v>
      </c>
      <c r="F268" s="54">
        <f t="shared" si="11"/>
        <v>0.1762271689497717</v>
      </c>
    </row>
    <row r="269" spans="1:6" x14ac:dyDescent="0.25">
      <c r="A269" s="51">
        <v>45933.999305497688</v>
      </c>
      <c r="B269">
        <v>573.5</v>
      </c>
      <c r="C269" s="3">
        <v>150</v>
      </c>
      <c r="D269" s="3">
        <v>146</v>
      </c>
      <c r="E269" s="47">
        <f t="shared" si="10"/>
        <v>3.9280821917808217</v>
      </c>
      <c r="F269" s="54">
        <f t="shared" si="11"/>
        <v>0.16367009132420091</v>
      </c>
    </row>
    <row r="270" spans="1:6" x14ac:dyDescent="0.25">
      <c r="A270" s="51">
        <v>45934.999305497688</v>
      </c>
      <c r="B270">
        <v>348.7</v>
      </c>
      <c r="C270" s="3">
        <v>150</v>
      </c>
      <c r="D270" s="3">
        <v>146</v>
      </c>
      <c r="E270" s="47">
        <f t="shared" si="10"/>
        <v>2.3883561643835614</v>
      </c>
      <c r="F270" s="54">
        <f t="shared" si="11"/>
        <v>9.9514840182648404E-2</v>
      </c>
    </row>
    <row r="271" spans="1:6" x14ac:dyDescent="0.25">
      <c r="A271" s="51">
        <v>45935.999305497688</v>
      </c>
      <c r="B271">
        <v>523.5</v>
      </c>
      <c r="C271" s="3">
        <v>150</v>
      </c>
      <c r="D271" s="3">
        <v>146</v>
      </c>
      <c r="E271" s="47">
        <f t="shared" si="10"/>
        <v>3.5856164383561642</v>
      </c>
      <c r="F271" s="54">
        <f t="shared" si="11"/>
        <v>0.14940068493150685</v>
      </c>
    </row>
    <row r="272" spans="1:6" x14ac:dyDescent="0.25">
      <c r="A272" s="51">
        <v>45936.999305497688</v>
      </c>
      <c r="B272">
        <v>658.3</v>
      </c>
      <c r="C272" s="3">
        <v>150</v>
      </c>
      <c r="D272" s="3">
        <v>146</v>
      </c>
      <c r="E272" s="47">
        <f t="shared" si="10"/>
        <v>4.5089041095890412</v>
      </c>
      <c r="F272" s="54">
        <f t="shared" si="11"/>
        <v>0.18787100456621003</v>
      </c>
    </row>
    <row r="273" spans="1:6" x14ac:dyDescent="0.25">
      <c r="A273" s="51">
        <v>45937.999305497688</v>
      </c>
      <c r="B273">
        <v>615.20000000000005</v>
      </c>
      <c r="C273" s="3">
        <v>150</v>
      </c>
      <c r="D273" s="3">
        <v>146</v>
      </c>
      <c r="E273" s="47">
        <f t="shared" ref="E273:E336" si="12">B273/D273</f>
        <v>4.213698630136987</v>
      </c>
      <c r="F273" s="54">
        <f t="shared" ref="F273:F336" si="13">B273/(24*D273)</f>
        <v>0.17557077625570777</v>
      </c>
    </row>
    <row r="274" spans="1:6" x14ac:dyDescent="0.25">
      <c r="A274" s="51">
        <v>45938.999305497688</v>
      </c>
      <c r="B274">
        <v>586.6</v>
      </c>
      <c r="C274" s="3">
        <v>150</v>
      </c>
      <c r="D274" s="3">
        <v>146</v>
      </c>
      <c r="E274" s="47">
        <f t="shared" si="12"/>
        <v>4.0178082191780824</v>
      </c>
      <c r="F274" s="54">
        <f t="shared" si="13"/>
        <v>0.16740867579908678</v>
      </c>
    </row>
    <row r="275" spans="1:6" x14ac:dyDescent="0.25">
      <c r="A275" s="51">
        <v>45939.999305497688</v>
      </c>
      <c r="B275">
        <v>398.3</v>
      </c>
      <c r="C275" s="3">
        <v>150</v>
      </c>
      <c r="D275" s="3">
        <v>146</v>
      </c>
      <c r="E275" s="47">
        <f t="shared" si="12"/>
        <v>2.728082191780822</v>
      </c>
      <c r="F275" s="54">
        <f t="shared" si="13"/>
        <v>0.11367009132420092</v>
      </c>
    </row>
    <row r="276" spans="1:6" x14ac:dyDescent="0.25">
      <c r="A276" s="51">
        <v>45940.999305497688</v>
      </c>
      <c r="B276">
        <v>495.6</v>
      </c>
      <c r="C276" s="3">
        <v>150</v>
      </c>
      <c r="D276" s="3">
        <v>146</v>
      </c>
      <c r="E276" s="47">
        <f t="shared" si="12"/>
        <v>3.3945205479452056</v>
      </c>
      <c r="F276" s="54">
        <f t="shared" si="13"/>
        <v>0.14143835616438358</v>
      </c>
    </row>
    <row r="277" spans="1:6" x14ac:dyDescent="0.25">
      <c r="A277" s="51">
        <v>45941.999305497688</v>
      </c>
      <c r="B277">
        <v>444.8</v>
      </c>
      <c r="C277" s="3">
        <v>150</v>
      </c>
      <c r="D277" s="3">
        <v>146</v>
      </c>
      <c r="E277" s="47">
        <f t="shared" si="12"/>
        <v>3.0465753424657533</v>
      </c>
      <c r="F277" s="54">
        <f t="shared" si="13"/>
        <v>0.12694063926940641</v>
      </c>
    </row>
    <row r="278" spans="1:6" x14ac:dyDescent="0.25">
      <c r="A278" s="51">
        <v>45942.999305497688</v>
      </c>
      <c r="B278">
        <v>623.20000000000005</v>
      </c>
      <c r="C278" s="3">
        <v>150</v>
      </c>
      <c r="D278" s="3">
        <v>146</v>
      </c>
      <c r="E278" s="47">
        <f t="shared" si="12"/>
        <v>4.2684931506849315</v>
      </c>
      <c r="F278" s="54">
        <f t="shared" si="13"/>
        <v>0.17785388127853882</v>
      </c>
    </row>
    <row r="279" spans="1:6" x14ac:dyDescent="0.25">
      <c r="A279" s="51">
        <v>45943.999305497688</v>
      </c>
      <c r="B279">
        <v>258.5</v>
      </c>
      <c r="C279" s="3">
        <v>150</v>
      </c>
      <c r="D279" s="3">
        <v>146</v>
      </c>
      <c r="E279" s="47">
        <f t="shared" si="12"/>
        <v>1.7705479452054795</v>
      </c>
      <c r="F279" s="54">
        <f t="shared" si="13"/>
        <v>7.3772831050228305E-2</v>
      </c>
    </row>
    <row r="280" spans="1:6" x14ac:dyDescent="0.25">
      <c r="A280" s="51">
        <v>45944.999305497688</v>
      </c>
      <c r="B280">
        <v>453.7</v>
      </c>
      <c r="C280" s="3">
        <v>150</v>
      </c>
      <c r="D280" s="3">
        <v>146</v>
      </c>
      <c r="E280" s="47">
        <f t="shared" si="12"/>
        <v>3.1075342465753426</v>
      </c>
      <c r="F280" s="54">
        <f t="shared" si="13"/>
        <v>0.12948059360730593</v>
      </c>
    </row>
    <row r="281" spans="1:6" x14ac:dyDescent="0.25">
      <c r="A281" s="51">
        <v>45945.999305497688</v>
      </c>
      <c r="B281">
        <v>634.1</v>
      </c>
      <c r="C281" s="3">
        <v>150</v>
      </c>
      <c r="D281" s="3">
        <v>146</v>
      </c>
      <c r="E281" s="47">
        <f t="shared" si="12"/>
        <v>4.3431506849315067</v>
      </c>
      <c r="F281" s="54">
        <f t="shared" si="13"/>
        <v>0.18096461187214613</v>
      </c>
    </row>
    <row r="282" spans="1:6" x14ac:dyDescent="0.25">
      <c r="A282" s="51">
        <v>45946.999305497688</v>
      </c>
      <c r="B282">
        <v>727.8</v>
      </c>
      <c r="C282" s="3">
        <v>150</v>
      </c>
      <c r="D282" s="3">
        <v>146</v>
      </c>
      <c r="E282" s="47">
        <f t="shared" si="12"/>
        <v>4.984931506849315</v>
      </c>
      <c r="F282" s="54">
        <f t="shared" si="13"/>
        <v>0.20770547945205478</v>
      </c>
    </row>
    <row r="283" spans="1:6" x14ac:dyDescent="0.25">
      <c r="A283" s="51">
        <v>45947.999305497688</v>
      </c>
      <c r="B283">
        <v>737.2</v>
      </c>
      <c r="C283" s="3">
        <v>150</v>
      </c>
      <c r="D283" s="3">
        <v>146</v>
      </c>
      <c r="E283" s="47">
        <f t="shared" si="12"/>
        <v>5.0493150684931507</v>
      </c>
      <c r="F283" s="54">
        <f t="shared" si="13"/>
        <v>0.21038812785388128</v>
      </c>
    </row>
    <row r="284" spans="1:6" x14ac:dyDescent="0.25">
      <c r="A284" s="51">
        <v>45948.999305497688</v>
      </c>
      <c r="B284">
        <v>496.4</v>
      </c>
      <c r="C284" s="3">
        <v>150</v>
      </c>
      <c r="D284" s="3">
        <v>146</v>
      </c>
      <c r="E284" s="47">
        <f t="shared" si="12"/>
        <v>3.4</v>
      </c>
      <c r="F284" s="54">
        <f t="shared" si="13"/>
        <v>0.14166666666666666</v>
      </c>
    </row>
    <row r="285" spans="1:6" x14ac:dyDescent="0.25">
      <c r="A285" s="51">
        <v>45949.999305497688</v>
      </c>
      <c r="B285">
        <v>253.1</v>
      </c>
      <c r="C285" s="3">
        <v>150</v>
      </c>
      <c r="D285" s="3">
        <v>146</v>
      </c>
      <c r="E285" s="47">
        <f t="shared" si="12"/>
        <v>1.7335616438356165</v>
      </c>
      <c r="F285" s="54">
        <f t="shared" si="13"/>
        <v>7.2231735159817345E-2</v>
      </c>
    </row>
    <row r="286" spans="1:6" x14ac:dyDescent="0.25">
      <c r="A286" s="51">
        <v>45950.999305497688</v>
      </c>
      <c r="B286">
        <v>529.29999999999995</v>
      </c>
      <c r="C286" s="3">
        <v>150</v>
      </c>
      <c r="D286" s="3">
        <v>146</v>
      </c>
      <c r="E286" s="47">
        <f t="shared" si="12"/>
        <v>3.6253424657534246</v>
      </c>
      <c r="F286" s="54">
        <f t="shared" si="13"/>
        <v>0.15105593607305934</v>
      </c>
    </row>
    <row r="287" spans="1:6" x14ac:dyDescent="0.25">
      <c r="A287" s="51">
        <v>45951.999305497688</v>
      </c>
      <c r="B287">
        <v>735.7</v>
      </c>
      <c r="C287" s="3">
        <v>150</v>
      </c>
      <c r="D287" s="3">
        <v>146</v>
      </c>
      <c r="E287" s="47">
        <f t="shared" si="12"/>
        <v>5.0390410958904113</v>
      </c>
      <c r="F287" s="54">
        <f t="shared" si="13"/>
        <v>0.20996004566210047</v>
      </c>
    </row>
    <row r="288" spans="1:6" x14ac:dyDescent="0.25">
      <c r="A288" s="51">
        <v>45952.999305497688</v>
      </c>
      <c r="B288">
        <v>646.5</v>
      </c>
      <c r="C288" s="3">
        <v>150</v>
      </c>
      <c r="D288" s="3">
        <v>146</v>
      </c>
      <c r="E288" s="47">
        <f t="shared" si="12"/>
        <v>4.4280821917808222</v>
      </c>
      <c r="F288" s="54">
        <f t="shared" si="13"/>
        <v>0.18450342465753425</v>
      </c>
    </row>
    <row r="289" spans="1:6" x14ac:dyDescent="0.25">
      <c r="A289" s="51">
        <v>45953.999305497688</v>
      </c>
      <c r="B289">
        <v>530.5</v>
      </c>
      <c r="C289" s="3">
        <v>150</v>
      </c>
      <c r="D289" s="3">
        <v>146</v>
      </c>
      <c r="E289" s="47">
        <f t="shared" si="12"/>
        <v>3.6335616438356166</v>
      </c>
      <c r="F289" s="54">
        <f t="shared" si="13"/>
        <v>0.15139840182648401</v>
      </c>
    </row>
    <row r="290" spans="1:6" x14ac:dyDescent="0.25">
      <c r="A290" s="51">
        <v>45954.999305497688</v>
      </c>
      <c r="B290">
        <v>539.29999999999995</v>
      </c>
      <c r="C290" s="3">
        <v>150</v>
      </c>
      <c r="D290" s="3">
        <v>146</v>
      </c>
      <c r="E290" s="47">
        <f t="shared" si="12"/>
        <v>3.6938356164383559</v>
      </c>
      <c r="F290" s="54">
        <f t="shared" si="13"/>
        <v>0.15390981735159817</v>
      </c>
    </row>
    <row r="291" spans="1:6" x14ac:dyDescent="0.25">
      <c r="A291" s="51">
        <v>45955.999305497688</v>
      </c>
      <c r="B291">
        <v>715.8</v>
      </c>
      <c r="C291" s="3">
        <v>150</v>
      </c>
      <c r="D291" s="3">
        <v>146</v>
      </c>
      <c r="E291" s="47">
        <f t="shared" si="12"/>
        <v>4.9027397260273968</v>
      </c>
      <c r="F291" s="54">
        <f t="shared" si="13"/>
        <v>0.20428082191780822</v>
      </c>
    </row>
    <row r="292" spans="1:6" x14ac:dyDescent="0.25">
      <c r="A292" s="51">
        <v>45956.999305497688</v>
      </c>
      <c r="B292">
        <v>657.6</v>
      </c>
      <c r="C292" s="3">
        <v>150</v>
      </c>
      <c r="D292" s="3">
        <v>146</v>
      </c>
      <c r="E292" s="47">
        <f t="shared" si="12"/>
        <v>4.5041095890410965</v>
      </c>
      <c r="F292" s="54">
        <f t="shared" si="13"/>
        <v>0.18767123287671234</v>
      </c>
    </row>
    <row r="293" spans="1:6" x14ac:dyDescent="0.25">
      <c r="A293" s="51">
        <v>45957.999305497688</v>
      </c>
      <c r="B293">
        <v>685.9</v>
      </c>
      <c r="C293" s="3">
        <v>150</v>
      </c>
      <c r="D293" s="3">
        <v>146</v>
      </c>
      <c r="E293" s="47">
        <f t="shared" si="12"/>
        <v>4.6979452054794519</v>
      </c>
      <c r="F293" s="54">
        <f t="shared" si="13"/>
        <v>0.19574771689497716</v>
      </c>
    </row>
    <row r="294" spans="1:6" x14ac:dyDescent="0.25">
      <c r="A294" s="51">
        <v>45958.999305497688</v>
      </c>
      <c r="B294" s="38">
        <v>446.3</v>
      </c>
      <c r="C294" s="3">
        <v>150</v>
      </c>
      <c r="D294" s="3">
        <v>146</v>
      </c>
      <c r="E294" s="47">
        <f t="shared" si="12"/>
        <v>3.0568493150684932</v>
      </c>
      <c r="F294" s="54">
        <f t="shared" si="13"/>
        <v>0.12736872146118722</v>
      </c>
    </row>
    <row r="295" spans="1:6" x14ac:dyDescent="0.25">
      <c r="A295" s="51">
        <v>45959.999305497688</v>
      </c>
      <c r="B295" s="38">
        <v>431.8</v>
      </c>
      <c r="C295" s="3">
        <v>150</v>
      </c>
      <c r="D295" s="3">
        <v>146</v>
      </c>
      <c r="E295" s="47">
        <f t="shared" si="12"/>
        <v>2.9575342465753427</v>
      </c>
      <c r="F295" s="54">
        <f t="shared" si="13"/>
        <v>0.12323059360730594</v>
      </c>
    </row>
    <row r="296" spans="1:6" x14ac:dyDescent="0.25">
      <c r="A296" s="51">
        <v>45960.999305497688</v>
      </c>
      <c r="B296" s="38">
        <v>395.1</v>
      </c>
      <c r="C296" s="3">
        <v>150</v>
      </c>
      <c r="D296" s="3">
        <v>146</v>
      </c>
      <c r="E296" s="47">
        <f t="shared" si="12"/>
        <v>2.706164383561644</v>
      </c>
      <c r="F296" s="54">
        <f t="shared" si="13"/>
        <v>0.11275684931506851</v>
      </c>
    </row>
    <row r="297" spans="1:6" x14ac:dyDescent="0.25">
      <c r="A297" s="51">
        <v>45961.999305497688</v>
      </c>
      <c r="B297" s="38">
        <v>294</v>
      </c>
      <c r="C297" s="3">
        <v>150</v>
      </c>
      <c r="D297" s="3">
        <v>146</v>
      </c>
      <c r="E297" s="47">
        <f t="shared" si="12"/>
        <v>2.0136986301369864</v>
      </c>
      <c r="F297" s="54">
        <f t="shared" si="13"/>
        <v>8.3904109589041098E-2</v>
      </c>
    </row>
    <row r="298" spans="1:6" x14ac:dyDescent="0.25">
      <c r="A298" s="51">
        <v>45962.999305497688</v>
      </c>
      <c r="B298">
        <v>650.4</v>
      </c>
      <c r="C298" s="3">
        <v>150</v>
      </c>
      <c r="D298" s="3">
        <v>146</v>
      </c>
      <c r="E298" s="47">
        <f t="shared" si="12"/>
        <v>4.4547945205479449</v>
      </c>
      <c r="F298" s="54">
        <f t="shared" si="13"/>
        <v>0.18561643835616437</v>
      </c>
    </row>
    <row r="299" spans="1:6" x14ac:dyDescent="0.25">
      <c r="A299" s="51">
        <v>45963.999305497688</v>
      </c>
      <c r="B299">
        <v>479</v>
      </c>
      <c r="C299" s="3">
        <v>150</v>
      </c>
      <c r="D299" s="3">
        <v>146</v>
      </c>
      <c r="E299" s="47">
        <f t="shared" si="12"/>
        <v>3.2808219178082192</v>
      </c>
      <c r="F299" s="54">
        <f t="shared" si="13"/>
        <v>0.13670091324200914</v>
      </c>
    </row>
    <row r="300" spans="1:6" x14ac:dyDescent="0.25">
      <c r="A300" s="51">
        <v>45964.999305497688</v>
      </c>
      <c r="B300">
        <v>312.60000000000002</v>
      </c>
      <c r="C300" s="3">
        <v>150</v>
      </c>
      <c r="D300" s="3">
        <v>146</v>
      </c>
      <c r="E300" s="47">
        <f t="shared" si="12"/>
        <v>2.1410958904109592</v>
      </c>
      <c r="F300" s="54">
        <f t="shared" si="13"/>
        <v>8.9212328767123289E-2</v>
      </c>
    </row>
    <row r="301" spans="1:6" x14ac:dyDescent="0.25">
      <c r="A301" s="51">
        <v>45965.999305497688</v>
      </c>
      <c r="B301">
        <v>588.4</v>
      </c>
      <c r="C301" s="3">
        <v>150</v>
      </c>
      <c r="D301" s="3">
        <v>146</v>
      </c>
      <c r="E301" s="47">
        <f t="shared" si="12"/>
        <v>4.0301369863013701</v>
      </c>
      <c r="F301" s="54">
        <f t="shared" si="13"/>
        <v>0.16792237442922373</v>
      </c>
    </row>
    <row r="302" spans="1:6" x14ac:dyDescent="0.25">
      <c r="A302" s="51">
        <v>45966.999305497688</v>
      </c>
      <c r="B302">
        <v>670.5</v>
      </c>
      <c r="C302" s="3">
        <v>150</v>
      </c>
      <c r="D302" s="3">
        <v>146</v>
      </c>
      <c r="E302" s="47">
        <f t="shared" si="12"/>
        <v>4.5924657534246576</v>
      </c>
      <c r="F302" s="54">
        <f t="shared" si="13"/>
        <v>0.1913527397260274</v>
      </c>
    </row>
    <row r="303" spans="1:6" x14ac:dyDescent="0.25">
      <c r="A303" s="51">
        <v>45967.999305497688</v>
      </c>
      <c r="B303">
        <v>718.1</v>
      </c>
      <c r="C303" s="3">
        <v>150</v>
      </c>
      <c r="D303" s="3">
        <v>146</v>
      </c>
      <c r="E303" s="47">
        <f t="shared" si="12"/>
        <v>4.9184931506849319</v>
      </c>
      <c r="F303" s="54">
        <f t="shared" si="13"/>
        <v>0.20493721461187214</v>
      </c>
    </row>
    <row r="304" spans="1:6" x14ac:dyDescent="0.25">
      <c r="A304" s="51">
        <v>45968.999305497688</v>
      </c>
      <c r="B304">
        <v>586.6</v>
      </c>
      <c r="C304" s="3">
        <v>150</v>
      </c>
      <c r="D304" s="3">
        <v>146</v>
      </c>
      <c r="E304" s="47">
        <f t="shared" si="12"/>
        <v>4.0178082191780824</v>
      </c>
      <c r="F304" s="54">
        <f t="shared" si="13"/>
        <v>0.16740867579908678</v>
      </c>
    </row>
    <row r="305" spans="1:6" x14ac:dyDescent="0.25">
      <c r="A305" s="51">
        <v>45969.999305497688</v>
      </c>
      <c r="B305">
        <v>97.2</v>
      </c>
      <c r="C305" s="3">
        <v>150</v>
      </c>
      <c r="D305" s="3">
        <v>146</v>
      </c>
      <c r="E305" s="47">
        <f t="shared" si="12"/>
        <v>0.66575342465753429</v>
      </c>
      <c r="F305" s="54">
        <f t="shared" si="13"/>
        <v>2.7739726027397261E-2</v>
      </c>
    </row>
    <row r="306" spans="1:6" x14ac:dyDescent="0.25">
      <c r="A306" s="51">
        <v>45970.999305497688</v>
      </c>
      <c r="B306">
        <v>322.2</v>
      </c>
      <c r="C306" s="3">
        <v>150</v>
      </c>
      <c r="D306" s="3">
        <v>146</v>
      </c>
      <c r="E306" s="47">
        <f t="shared" si="12"/>
        <v>2.2068493150684931</v>
      </c>
      <c r="F306" s="54">
        <f t="shared" si="13"/>
        <v>9.1952054794520538E-2</v>
      </c>
    </row>
    <row r="307" spans="1:6" x14ac:dyDescent="0.25">
      <c r="A307" s="51">
        <v>45971.999305497688</v>
      </c>
      <c r="B307">
        <v>515.5</v>
      </c>
      <c r="C307" s="3">
        <v>150</v>
      </c>
      <c r="D307" s="3">
        <v>146</v>
      </c>
      <c r="E307" s="47">
        <f t="shared" si="12"/>
        <v>3.5308219178082192</v>
      </c>
      <c r="F307" s="54">
        <f t="shared" si="13"/>
        <v>0.1471175799086758</v>
      </c>
    </row>
    <row r="308" spans="1:6" x14ac:dyDescent="0.25">
      <c r="A308" s="51">
        <v>45972.999305497688</v>
      </c>
      <c r="B308">
        <v>698.2</v>
      </c>
      <c r="C308" s="3">
        <v>150</v>
      </c>
      <c r="D308" s="3">
        <v>146</v>
      </c>
      <c r="E308" s="47">
        <f t="shared" si="12"/>
        <v>4.7821917808219183</v>
      </c>
      <c r="F308" s="54">
        <f t="shared" si="13"/>
        <v>0.19925799086757992</v>
      </c>
    </row>
    <row r="309" spans="1:6" x14ac:dyDescent="0.25">
      <c r="A309" s="51">
        <v>45973.999305497688</v>
      </c>
      <c r="B309">
        <v>835.1</v>
      </c>
      <c r="C309" s="3">
        <v>150</v>
      </c>
      <c r="D309" s="3">
        <v>146</v>
      </c>
      <c r="E309" s="47">
        <f t="shared" si="12"/>
        <v>5.7198630136986299</v>
      </c>
      <c r="F309" s="54">
        <f t="shared" si="13"/>
        <v>0.23832762557077627</v>
      </c>
    </row>
    <row r="310" spans="1:6" x14ac:dyDescent="0.25">
      <c r="A310" s="51">
        <v>45974.999305497688</v>
      </c>
      <c r="B310">
        <v>700.5</v>
      </c>
      <c r="C310" s="3">
        <v>150</v>
      </c>
      <c r="D310" s="3">
        <v>146</v>
      </c>
      <c r="E310" s="47">
        <f t="shared" si="12"/>
        <v>4.7979452054794525</v>
      </c>
      <c r="F310" s="54">
        <f t="shared" si="13"/>
        <v>0.19991438356164384</v>
      </c>
    </row>
    <row r="311" spans="1:6" x14ac:dyDescent="0.25">
      <c r="A311" s="51">
        <v>45975.999305497688</v>
      </c>
      <c r="B311">
        <v>685.7</v>
      </c>
      <c r="C311" s="3">
        <v>150</v>
      </c>
      <c r="D311" s="3">
        <v>146</v>
      </c>
      <c r="E311" s="47">
        <f t="shared" si="12"/>
        <v>4.6965753424657537</v>
      </c>
      <c r="F311" s="54">
        <f t="shared" si="13"/>
        <v>0.19569063926940641</v>
      </c>
    </row>
    <row r="312" spans="1:6" x14ac:dyDescent="0.25">
      <c r="A312" s="51">
        <v>45976.999305497688</v>
      </c>
      <c r="B312">
        <v>674.9</v>
      </c>
      <c r="C312" s="3">
        <v>150</v>
      </c>
      <c r="D312" s="3">
        <v>146</v>
      </c>
      <c r="E312" s="47">
        <f t="shared" si="12"/>
        <v>4.6226027397260276</v>
      </c>
      <c r="F312" s="54">
        <f t="shared" si="13"/>
        <v>0.19260844748858447</v>
      </c>
    </row>
    <row r="313" spans="1:6" x14ac:dyDescent="0.25">
      <c r="A313" s="51">
        <v>45977.999305497688</v>
      </c>
      <c r="B313">
        <v>505</v>
      </c>
      <c r="C313" s="3">
        <v>150</v>
      </c>
      <c r="D313" s="3">
        <v>146</v>
      </c>
      <c r="E313" s="47">
        <f t="shared" si="12"/>
        <v>3.4589041095890409</v>
      </c>
      <c r="F313" s="54">
        <f t="shared" si="13"/>
        <v>0.14412100456621005</v>
      </c>
    </row>
    <row r="314" spans="1:6" x14ac:dyDescent="0.25">
      <c r="A314" s="51">
        <v>45978.999305497688</v>
      </c>
      <c r="B314">
        <v>239.8</v>
      </c>
      <c r="C314" s="3">
        <v>150</v>
      </c>
      <c r="D314" s="3">
        <v>146</v>
      </c>
      <c r="E314" s="47">
        <f t="shared" si="12"/>
        <v>1.6424657534246576</v>
      </c>
      <c r="F314" s="54">
        <f t="shared" si="13"/>
        <v>6.8436073059360739E-2</v>
      </c>
    </row>
    <row r="315" spans="1:6" x14ac:dyDescent="0.25">
      <c r="A315" s="51">
        <v>45979.999305497688</v>
      </c>
      <c r="B315">
        <v>578.6</v>
      </c>
      <c r="C315" s="3">
        <v>150</v>
      </c>
      <c r="D315" s="3">
        <v>146</v>
      </c>
      <c r="E315" s="47">
        <f t="shared" si="12"/>
        <v>3.963013698630137</v>
      </c>
      <c r="F315" s="54">
        <f t="shared" si="13"/>
        <v>0.16512557077625573</v>
      </c>
    </row>
    <row r="316" spans="1:6" x14ac:dyDescent="0.25">
      <c r="A316" s="51">
        <v>45980.999305497688</v>
      </c>
      <c r="B316">
        <v>852</v>
      </c>
      <c r="C316" s="3">
        <v>150</v>
      </c>
      <c r="D316" s="3">
        <v>146</v>
      </c>
      <c r="E316" s="47">
        <f t="shared" si="12"/>
        <v>5.8356164383561646</v>
      </c>
      <c r="F316" s="54">
        <f t="shared" si="13"/>
        <v>0.24315068493150685</v>
      </c>
    </row>
    <row r="317" spans="1:6" x14ac:dyDescent="0.25">
      <c r="A317" s="51">
        <v>45981.999305497688</v>
      </c>
      <c r="B317">
        <v>838.8</v>
      </c>
      <c r="C317" s="3">
        <v>150</v>
      </c>
      <c r="D317" s="3">
        <v>146</v>
      </c>
      <c r="E317" s="47">
        <f t="shared" si="12"/>
        <v>5.7452054794520544</v>
      </c>
      <c r="F317" s="54">
        <f t="shared" si="13"/>
        <v>0.23938356164383559</v>
      </c>
    </row>
    <row r="318" spans="1:6" x14ac:dyDescent="0.25">
      <c r="A318" s="51">
        <v>45982.999305497688</v>
      </c>
      <c r="B318">
        <v>765.4</v>
      </c>
      <c r="C318" s="3">
        <v>150</v>
      </c>
      <c r="D318" s="3">
        <v>146</v>
      </c>
      <c r="E318" s="47">
        <f t="shared" si="12"/>
        <v>5.242465753424657</v>
      </c>
      <c r="F318" s="54">
        <f t="shared" si="13"/>
        <v>0.21843607305936072</v>
      </c>
    </row>
    <row r="319" spans="1:6" x14ac:dyDescent="0.25">
      <c r="A319" s="51">
        <v>45983.999305497688</v>
      </c>
      <c r="B319">
        <v>643.9</v>
      </c>
      <c r="C319" s="3">
        <v>150</v>
      </c>
      <c r="D319" s="3">
        <v>146</v>
      </c>
      <c r="E319" s="47">
        <f t="shared" si="12"/>
        <v>4.4102739726027398</v>
      </c>
      <c r="F319" s="54">
        <f t="shared" si="13"/>
        <v>0.18376141552511416</v>
      </c>
    </row>
    <row r="320" spans="1:6" x14ac:dyDescent="0.25">
      <c r="A320" s="51">
        <v>45984.999305497688</v>
      </c>
      <c r="B320">
        <v>196.1</v>
      </c>
      <c r="C320" s="3">
        <v>150</v>
      </c>
      <c r="D320" s="3">
        <v>146</v>
      </c>
      <c r="E320" s="47">
        <f t="shared" si="12"/>
        <v>1.3431506849315069</v>
      </c>
      <c r="F320" s="54">
        <f t="shared" si="13"/>
        <v>5.5964611872146117E-2</v>
      </c>
    </row>
    <row r="321" spans="1:6" x14ac:dyDescent="0.25">
      <c r="A321" s="51">
        <v>45985.999305497688</v>
      </c>
      <c r="B321">
        <v>548.9</v>
      </c>
      <c r="C321" s="3">
        <v>150</v>
      </c>
      <c r="D321" s="3">
        <v>146</v>
      </c>
      <c r="E321" s="47">
        <f t="shared" si="12"/>
        <v>3.7595890410958903</v>
      </c>
      <c r="F321" s="54">
        <f t="shared" si="13"/>
        <v>0.15664954337899542</v>
      </c>
    </row>
    <row r="322" spans="1:6" x14ac:dyDescent="0.25">
      <c r="A322" s="51">
        <v>45986.999305497688</v>
      </c>
      <c r="B322">
        <v>552.6</v>
      </c>
      <c r="C322" s="3">
        <v>150</v>
      </c>
      <c r="D322" s="3">
        <v>146</v>
      </c>
      <c r="E322" s="47">
        <f t="shared" si="12"/>
        <v>3.7849315068493152</v>
      </c>
      <c r="F322" s="54">
        <f t="shared" si="13"/>
        <v>0.15770547945205479</v>
      </c>
    </row>
    <row r="323" spans="1:6" x14ac:dyDescent="0.25">
      <c r="A323" s="51">
        <v>45987.999305497688</v>
      </c>
      <c r="B323">
        <v>727.9</v>
      </c>
      <c r="C323" s="3">
        <v>150</v>
      </c>
      <c r="D323" s="3">
        <v>146</v>
      </c>
      <c r="E323" s="47">
        <f t="shared" si="12"/>
        <v>4.9856164383561641</v>
      </c>
      <c r="F323" s="54">
        <f t="shared" si="13"/>
        <v>0.20773401826484017</v>
      </c>
    </row>
    <row r="324" spans="1:6" x14ac:dyDescent="0.25">
      <c r="A324" s="51">
        <v>45988.999305497688</v>
      </c>
      <c r="B324">
        <v>720.5</v>
      </c>
      <c r="C324" s="3">
        <v>150</v>
      </c>
      <c r="D324" s="3">
        <v>146</v>
      </c>
      <c r="E324" s="47">
        <f t="shared" si="12"/>
        <v>4.9349315068493151</v>
      </c>
      <c r="F324" s="54">
        <f t="shared" si="13"/>
        <v>0.20562214611872145</v>
      </c>
    </row>
    <row r="325" spans="1:6" x14ac:dyDescent="0.25">
      <c r="A325" s="51">
        <v>45989.999305497688</v>
      </c>
      <c r="B325">
        <v>707.6</v>
      </c>
      <c r="C325" s="3">
        <v>150</v>
      </c>
      <c r="D325" s="3">
        <v>146</v>
      </c>
      <c r="E325" s="47">
        <f t="shared" si="12"/>
        <v>4.8465753424657532</v>
      </c>
      <c r="F325" s="54">
        <f t="shared" si="13"/>
        <v>0.20194063926940639</v>
      </c>
    </row>
    <row r="326" spans="1:6" x14ac:dyDescent="0.25">
      <c r="A326" s="51">
        <v>45990.999305497688</v>
      </c>
      <c r="B326">
        <v>629.9</v>
      </c>
      <c r="C326" s="3">
        <v>150</v>
      </c>
      <c r="D326" s="3">
        <v>146</v>
      </c>
      <c r="E326" s="47">
        <f t="shared" si="12"/>
        <v>4.3143835616438357</v>
      </c>
      <c r="F326" s="54">
        <f t="shared" si="13"/>
        <v>0.17976598173515981</v>
      </c>
    </row>
    <row r="327" spans="1:6" x14ac:dyDescent="0.25">
      <c r="A327" s="51">
        <v>45991.999305497688</v>
      </c>
      <c r="B327">
        <v>710.8</v>
      </c>
      <c r="C327" s="3">
        <v>150</v>
      </c>
      <c r="D327" s="3">
        <v>146</v>
      </c>
      <c r="E327" s="47">
        <f t="shared" si="12"/>
        <v>4.8684931506849312</v>
      </c>
      <c r="F327" s="54">
        <f t="shared" si="13"/>
        <v>0.20285388127853879</v>
      </c>
    </row>
    <row r="328" spans="1:6" x14ac:dyDescent="0.25">
      <c r="A328" s="51">
        <v>45992.999305497688</v>
      </c>
      <c r="B328" s="38"/>
      <c r="C328" s="3">
        <v>150</v>
      </c>
      <c r="D328" s="3">
        <v>146</v>
      </c>
      <c r="E328" s="47">
        <f t="shared" si="12"/>
        <v>0</v>
      </c>
      <c r="F328" s="54">
        <f t="shared" si="13"/>
        <v>0</v>
      </c>
    </row>
    <row r="329" spans="1:6" x14ac:dyDescent="0.25">
      <c r="A329" s="51">
        <v>45993.999305497688</v>
      </c>
      <c r="B329" s="38"/>
      <c r="C329" s="3">
        <v>150</v>
      </c>
      <c r="D329" s="3">
        <v>146</v>
      </c>
      <c r="E329" s="47">
        <f t="shared" si="12"/>
        <v>0</v>
      </c>
      <c r="F329" s="54">
        <f t="shared" si="13"/>
        <v>0</v>
      </c>
    </row>
    <row r="330" spans="1:6" x14ac:dyDescent="0.25">
      <c r="A330" s="51">
        <v>45994.999305497688</v>
      </c>
      <c r="B330" s="38"/>
      <c r="C330" s="3">
        <v>150</v>
      </c>
      <c r="D330" s="3">
        <v>146</v>
      </c>
      <c r="E330" s="47">
        <f t="shared" si="12"/>
        <v>0</v>
      </c>
      <c r="F330" s="54">
        <f t="shared" si="13"/>
        <v>0</v>
      </c>
    </row>
    <row r="331" spans="1:6" x14ac:dyDescent="0.25">
      <c r="A331" s="51">
        <v>45995.999305497688</v>
      </c>
      <c r="B331" s="38"/>
      <c r="C331" s="3">
        <v>150</v>
      </c>
      <c r="D331" s="3">
        <v>146</v>
      </c>
      <c r="E331" s="47">
        <f t="shared" si="12"/>
        <v>0</v>
      </c>
      <c r="F331" s="54">
        <f t="shared" si="13"/>
        <v>0</v>
      </c>
    </row>
    <row r="332" spans="1:6" x14ac:dyDescent="0.25">
      <c r="A332" s="51">
        <v>45996.999305497688</v>
      </c>
      <c r="B332" s="38"/>
      <c r="C332" s="3">
        <v>150</v>
      </c>
      <c r="D332" s="3">
        <v>146</v>
      </c>
      <c r="E332" s="47">
        <f t="shared" si="12"/>
        <v>0</v>
      </c>
      <c r="F332" s="54">
        <f t="shared" si="13"/>
        <v>0</v>
      </c>
    </row>
    <row r="333" spans="1:6" x14ac:dyDescent="0.25">
      <c r="A333" s="51">
        <v>45997.999305497688</v>
      </c>
      <c r="B333" s="38"/>
      <c r="C333" s="3">
        <v>150</v>
      </c>
      <c r="D333" s="3">
        <v>146</v>
      </c>
      <c r="E333" s="47">
        <f t="shared" si="12"/>
        <v>0</v>
      </c>
      <c r="F333" s="54">
        <f t="shared" si="13"/>
        <v>0</v>
      </c>
    </row>
    <row r="334" spans="1:6" x14ac:dyDescent="0.25">
      <c r="A334" s="51">
        <v>45998.999305497688</v>
      </c>
      <c r="B334" s="38"/>
      <c r="C334" s="3">
        <v>150</v>
      </c>
      <c r="D334" s="3">
        <v>146</v>
      </c>
      <c r="E334" s="47">
        <f t="shared" si="12"/>
        <v>0</v>
      </c>
      <c r="F334" s="54">
        <f t="shared" si="13"/>
        <v>0</v>
      </c>
    </row>
    <row r="335" spans="1:6" x14ac:dyDescent="0.25">
      <c r="A335" s="51">
        <v>45999.999305497688</v>
      </c>
      <c r="B335" s="38"/>
      <c r="C335" s="3">
        <v>150</v>
      </c>
      <c r="D335" s="3">
        <v>146</v>
      </c>
      <c r="E335" s="47">
        <f t="shared" si="12"/>
        <v>0</v>
      </c>
      <c r="F335" s="54">
        <f t="shared" si="13"/>
        <v>0</v>
      </c>
    </row>
    <row r="336" spans="1:6" x14ac:dyDescent="0.25">
      <c r="A336" s="51">
        <v>46000.999305497688</v>
      </c>
      <c r="B336" s="38"/>
      <c r="C336" s="3">
        <v>150</v>
      </c>
      <c r="D336" s="3">
        <v>146</v>
      </c>
      <c r="E336" s="47">
        <f t="shared" si="12"/>
        <v>0</v>
      </c>
      <c r="F336" s="54">
        <f t="shared" si="13"/>
        <v>0</v>
      </c>
    </row>
    <row r="337" spans="1:6" x14ac:dyDescent="0.25">
      <c r="A337" s="51">
        <v>46001.999305497688</v>
      </c>
      <c r="B337" s="38"/>
      <c r="C337" s="3">
        <v>150</v>
      </c>
      <c r="D337" s="3">
        <v>146</v>
      </c>
      <c r="E337" s="47">
        <f t="shared" ref="E337:E358" si="14">B337/D337</f>
        <v>0</v>
      </c>
      <c r="F337" s="54">
        <f t="shared" ref="F337:F358" si="15">B337/(24*D337)</f>
        <v>0</v>
      </c>
    </row>
    <row r="338" spans="1:6" x14ac:dyDescent="0.25">
      <c r="A338" s="51">
        <v>46002.999305497688</v>
      </c>
      <c r="B338" s="38"/>
      <c r="C338" s="3">
        <v>150</v>
      </c>
      <c r="D338" s="3">
        <v>146</v>
      </c>
      <c r="E338" s="47">
        <f t="shared" si="14"/>
        <v>0</v>
      </c>
      <c r="F338" s="54">
        <f t="shared" si="15"/>
        <v>0</v>
      </c>
    </row>
    <row r="339" spans="1:6" x14ac:dyDescent="0.25">
      <c r="A339" s="51">
        <v>46003.999305497688</v>
      </c>
      <c r="B339" s="38"/>
      <c r="C339" s="3">
        <v>150</v>
      </c>
      <c r="D339" s="3">
        <v>146</v>
      </c>
      <c r="E339" s="47">
        <f t="shared" si="14"/>
        <v>0</v>
      </c>
      <c r="F339" s="54">
        <f t="shared" si="15"/>
        <v>0</v>
      </c>
    </row>
    <row r="340" spans="1:6" x14ac:dyDescent="0.25">
      <c r="A340" s="51">
        <v>46004.999305497688</v>
      </c>
      <c r="B340" s="38"/>
      <c r="C340" s="3">
        <v>150</v>
      </c>
      <c r="D340" s="3">
        <v>146</v>
      </c>
      <c r="E340" s="47">
        <f t="shared" si="14"/>
        <v>0</v>
      </c>
      <c r="F340" s="54">
        <f t="shared" si="15"/>
        <v>0</v>
      </c>
    </row>
    <row r="341" spans="1:6" x14ac:dyDescent="0.25">
      <c r="A341" s="51">
        <v>46005.999305497688</v>
      </c>
      <c r="B341" s="38"/>
      <c r="C341" s="3">
        <v>150</v>
      </c>
      <c r="D341" s="3">
        <v>146</v>
      </c>
      <c r="E341" s="47">
        <f t="shared" si="14"/>
        <v>0</v>
      </c>
      <c r="F341" s="54">
        <f t="shared" si="15"/>
        <v>0</v>
      </c>
    </row>
    <row r="342" spans="1:6" x14ac:dyDescent="0.25">
      <c r="A342" s="51">
        <v>46006.999305497688</v>
      </c>
      <c r="B342" s="38"/>
      <c r="C342" s="3">
        <v>150</v>
      </c>
      <c r="D342" s="3">
        <v>146</v>
      </c>
      <c r="E342" s="47">
        <f t="shared" si="14"/>
        <v>0</v>
      </c>
      <c r="F342" s="54">
        <f t="shared" si="15"/>
        <v>0</v>
      </c>
    </row>
    <row r="343" spans="1:6" x14ac:dyDescent="0.25">
      <c r="A343" s="51">
        <v>46007.999305497688</v>
      </c>
      <c r="B343" s="38"/>
      <c r="C343" s="3">
        <v>150</v>
      </c>
      <c r="D343" s="3">
        <v>146</v>
      </c>
      <c r="E343" s="47">
        <f t="shared" si="14"/>
        <v>0</v>
      </c>
      <c r="F343" s="54">
        <f t="shared" si="15"/>
        <v>0</v>
      </c>
    </row>
    <row r="344" spans="1:6" x14ac:dyDescent="0.25">
      <c r="A344" s="51">
        <v>46008.999305497688</v>
      </c>
      <c r="B344" s="38"/>
      <c r="C344" s="3">
        <v>150</v>
      </c>
      <c r="D344" s="3">
        <v>146</v>
      </c>
      <c r="E344" s="47">
        <f t="shared" si="14"/>
        <v>0</v>
      </c>
      <c r="F344" s="54">
        <f t="shared" si="15"/>
        <v>0</v>
      </c>
    </row>
    <row r="345" spans="1:6" x14ac:dyDescent="0.25">
      <c r="A345" s="51">
        <v>46009.999305497688</v>
      </c>
      <c r="B345" s="38"/>
      <c r="C345" s="3">
        <v>150</v>
      </c>
      <c r="D345" s="3">
        <v>146</v>
      </c>
      <c r="E345" s="47">
        <f t="shared" si="14"/>
        <v>0</v>
      </c>
      <c r="F345" s="54">
        <f t="shared" si="15"/>
        <v>0</v>
      </c>
    </row>
    <row r="346" spans="1:6" x14ac:dyDescent="0.25">
      <c r="A346" s="51">
        <v>46010.999305497688</v>
      </c>
      <c r="B346" s="38"/>
      <c r="C346" s="3">
        <v>150</v>
      </c>
      <c r="D346" s="3">
        <v>146</v>
      </c>
      <c r="E346" s="47">
        <f t="shared" si="14"/>
        <v>0</v>
      </c>
      <c r="F346" s="54">
        <f t="shared" si="15"/>
        <v>0</v>
      </c>
    </row>
    <row r="347" spans="1:6" x14ac:dyDescent="0.25">
      <c r="A347" s="51">
        <v>46011.999305497688</v>
      </c>
      <c r="B347" s="38"/>
      <c r="C347" s="3">
        <v>150</v>
      </c>
      <c r="D347" s="3">
        <v>146</v>
      </c>
      <c r="E347" s="47">
        <f t="shared" si="14"/>
        <v>0</v>
      </c>
      <c r="F347" s="54">
        <f t="shared" si="15"/>
        <v>0</v>
      </c>
    </row>
    <row r="348" spans="1:6" x14ac:dyDescent="0.25">
      <c r="A348" s="51">
        <v>46012.999305497688</v>
      </c>
      <c r="B348" s="38"/>
      <c r="C348" s="3">
        <v>150</v>
      </c>
      <c r="D348" s="3">
        <v>146</v>
      </c>
      <c r="E348" s="47">
        <f t="shared" si="14"/>
        <v>0</v>
      </c>
      <c r="F348" s="54">
        <f t="shared" si="15"/>
        <v>0</v>
      </c>
    </row>
    <row r="349" spans="1:6" x14ac:dyDescent="0.25">
      <c r="A349" s="51">
        <v>46013.999305497688</v>
      </c>
      <c r="B349" s="38"/>
      <c r="C349" s="3">
        <v>150</v>
      </c>
      <c r="D349" s="3">
        <v>146</v>
      </c>
      <c r="E349" s="47">
        <f t="shared" si="14"/>
        <v>0</v>
      </c>
      <c r="F349" s="54">
        <f t="shared" si="15"/>
        <v>0</v>
      </c>
    </row>
    <row r="350" spans="1:6" x14ac:dyDescent="0.25">
      <c r="A350" s="51">
        <v>46014.999305497688</v>
      </c>
      <c r="B350" s="38"/>
      <c r="C350" s="3">
        <v>150</v>
      </c>
      <c r="D350" s="3">
        <v>146</v>
      </c>
      <c r="E350" s="47">
        <f t="shared" si="14"/>
        <v>0</v>
      </c>
      <c r="F350" s="54">
        <f t="shared" si="15"/>
        <v>0</v>
      </c>
    </row>
    <row r="351" spans="1:6" x14ac:dyDescent="0.25">
      <c r="A351" s="51">
        <v>46015.999305497688</v>
      </c>
      <c r="B351" s="38"/>
      <c r="C351" s="3">
        <v>150</v>
      </c>
      <c r="D351" s="3">
        <v>146</v>
      </c>
      <c r="E351" s="47">
        <f t="shared" si="14"/>
        <v>0</v>
      </c>
      <c r="F351" s="54">
        <f t="shared" si="15"/>
        <v>0</v>
      </c>
    </row>
    <row r="352" spans="1:6" x14ac:dyDescent="0.25">
      <c r="A352" s="51">
        <v>46016.999305497688</v>
      </c>
      <c r="B352" s="38"/>
      <c r="C352" s="3">
        <v>150</v>
      </c>
      <c r="D352" s="3">
        <v>146</v>
      </c>
      <c r="E352" s="47">
        <f t="shared" si="14"/>
        <v>0</v>
      </c>
      <c r="F352" s="54">
        <f t="shared" si="15"/>
        <v>0</v>
      </c>
    </row>
    <row r="353" spans="1:6" x14ac:dyDescent="0.25">
      <c r="A353" s="51">
        <v>46017.999305497688</v>
      </c>
      <c r="B353" s="38"/>
      <c r="C353" s="3">
        <v>150</v>
      </c>
      <c r="D353" s="3">
        <v>146</v>
      </c>
      <c r="E353" s="47">
        <f t="shared" si="14"/>
        <v>0</v>
      </c>
      <c r="F353" s="54">
        <f t="shared" si="15"/>
        <v>0</v>
      </c>
    </row>
    <row r="354" spans="1:6" x14ac:dyDescent="0.25">
      <c r="A354" s="51">
        <v>46018.999305497688</v>
      </c>
      <c r="B354" s="38"/>
      <c r="C354" s="3">
        <v>150</v>
      </c>
      <c r="D354" s="3">
        <v>146</v>
      </c>
      <c r="E354" s="47">
        <f t="shared" si="14"/>
        <v>0</v>
      </c>
      <c r="F354" s="54">
        <f t="shared" si="15"/>
        <v>0</v>
      </c>
    </row>
    <row r="355" spans="1:6" x14ac:dyDescent="0.25">
      <c r="A355" s="51">
        <v>46019.999305497688</v>
      </c>
      <c r="B355" s="38"/>
      <c r="C355" s="3">
        <v>150</v>
      </c>
      <c r="D355" s="3">
        <v>146</v>
      </c>
      <c r="E355" s="47">
        <f t="shared" si="14"/>
        <v>0</v>
      </c>
      <c r="F355" s="54">
        <f t="shared" si="15"/>
        <v>0</v>
      </c>
    </row>
    <row r="356" spans="1:6" x14ac:dyDescent="0.25">
      <c r="A356" s="51">
        <v>46020.999305497688</v>
      </c>
      <c r="B356" s="38"/>
      <c r="C356" s="3">
        <v>150</v>
      </c>
      <c r="D356" s="3">
        <v>146</v>
      </c>
      <c r="E356" s="47">
        <f t="shared" si="14"/>
        <v>0</v>
      </c>
      <c r="F356" s="54">
        <f t="shared" si="15"/>
        <v>0</v>
      </c>
    </row>
    <row r="357" spans="1:6" x14ac:dyDescent="0.25">
      <c r="A357" s="51">
        <v>46021.999305497688</v>
      </c>
      <c r="B357" s="38"/>
      <c r="C357" s="3">
        <v>150</v>
      </c>
      <c r="D357" s="3">
        <v>146</v>
      </c>
      <c r="E357" s="47">
        <f t="shared" si="14"/>
        <v>0</v>
      </c>
      <c r="F357" s="54">
        <f t="shared" si="15"/>
        <v>0</v>
      </c>
    </row>
    <row r="358" spans="1:6" x14ac:dyDescent="0.25">
      <c r="A358" s="51">
        <v>46022.999305497688</v>
      </c>
      <c r="B358" s="38"/>
      <c r="C358" s="3">
        <v>150</v>
      </c>
      <c r="D358" s="3">
        <v>146</v>
      </c>
      <c r="E358" s="47">
        <f t="shared" si="14"/>
        <v>0</v>
      </c>
      <c r="F358" s="54">
        <f t="shared" si="15"/>
        <v>0</v>
      </c>
    </row>
    <row r="359" spans="1:6" x14ac:dyDescent="0.25">
      <c r="C359" s="1"/>
      <c r="D359" s="1"/>
    </row>
    <row r="360" spans="1:6" x14ac:dyDescent="0.25">
      <c r="C360" s="1"/>
      <c r="D360" s="1"/>
    </row>
    <row r="361" spans="1:6" x14ac:dyDescent="0.25">
      <c r="C361" s="1"/>
      <c r="D361" s="1"/>
    </row>
    <row r="362" spans="1:6" x14ac:dyDescent="0.25">
      <c r="C362" s="1"/>
      <c r="D362" s="1"/>
    </row>
    <row r="363" spans="1:6" x14ac:dyDescent="0.25">
      <c r="C363" s="1"/>
      <c r="D363" s="1"/>
    </row>
    <row r="364" spans="1:6" x14ac:dyDescent="0.25">
      <c r="C364" s="1"/>
      <c r="D364" s="1"/>
    </row>
    <row r="365" spans="1:6" x14ac:dyDescent="0.25">
      <c r="C365" s="1"/>
      <c r="D365" s="1"/>
    </row>
    <row r="366" spans="1:6" x14ac:dyDescent="0.25">
      <c r="C366" s="1"/>
      <c r="D366" s="1"/>
    </row>
    <row r="367" spans="1:6" x14ac:dyDescent="0.25">
      <c r="C367" s="1"/>
      <c r="D367" s="1"/>
    </row>
  </sheetData>
  <mergeCells count="1">
    <mergeCell ref="Q1:R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CD8DD-7CFA-4EF4-9597-28D1B56C3918}">
  <sheetPr codeName="Planilha5"/>
  <dimension ref="A1:BW518"/>
  <sheetViews>
    <sheetView topLeftCell="F19" workbookViewId="0">
      <selection activeCell="N39" sqref="N39"/>
    </sheetView>
  </sheetViews>
  <sheetFormatPr defaultRowHeight="15" x14ac:dyDescent="0.25"/>
  <cols>
    <col min="1" max="1" width="15.28515625" bestFit="1" customWidth="1"/>
    <col min="2" max="2" width="14.28515625" bestFit="1" customWidth="1"/>
    <col min="3" max="3" width="23" bestFit="1" customWidth="1"/>
    <col min="4" max="4" width="11.42578125" bestFit="1" customWidth="1"/>
    <col min="5" max="5" width="16.28515625" bestFit="1" customWidth="1"/>
    <col min="6" max="6" width="18.28515625" bestFit="1" customWidth="1"/>
    <col min="7" max="7" width="23.28515625" bestFit="1" customWidth="1"/>
    <col min="9" max="9" width="10.42578125" bestFit="1" customWidth="1"/>
    <col min="10" max="10" width="26.85546875" bestFit="1" customWidth="1"/>
    <col min="11" max="11" width="31.140625" bestFit="1" customWidth="1"/>
    <col min="12" max="12" width="24.7109375" bestFit="1" customWidth="1"/>
    <col min="13" max="13" width="17.28515625" bestFit="1" customWidth="1"/>
    <col min="14" max="14" width="25.85546875" bestFit="1" customWidth="1"/>
    <col min="15" max="15" width="10.85546875" bestFit="1" customWidth="1"/>
    <col min="16" max="16" width="14.42578125" bestFit="1" customWidth="1"/>
    <col min="18" max="18" width="20.85546875" customWidth="1"/>
  </cols>
  <sheetData>
    <row r="1" spans="1:18" x14ac:dyDescent="0.25">
      <c r="A1" s="8" t="s">
        <v>0</v>
      </c>
      <c r="B1" s="9" t="s">
        <v>1</v>
      </c>
      <c r="C1" s="8" t="s">
        <v>2</v>
      </c>
      <c r="D1" s="9" t="s">
        <v>3</v>
      </c>
      <c r="E1" s="8" t="s">
        <v>4</v>
      </c>
      <c r="F1" s="40" t="s">
        <v>5</v>
      </c>
      <c r="G1" s="9" t="s">
        <v>19</v>
      </c>
      <c r="I1" s="46" t="s">
        <v>56</v>
      </c>
      <c r="J1" s="6" t="s">
        <v>22</v>
      </c>
      <c r="K1" s="6" t="s">
        <v>59</v>
      </c>
      <c r="L1" s="6" t="s">
        <v>20</v>
      </c>
      <c r="M1" s="7" t="s">
        <v>6</v>
      </c>
      <c r="N1" s="27" t="s">
        <v>54</v>
      </c>
      <c r="P1" s="10" t="s">
        <v>23</v>
      </c>
      <c r="Q1" s="67" t="s">
        <v>24</v>
      </c>
      <c r="R1" s="68"/>
    </row>
    <row r="2" spans="1:18" x14ac:dyDescent="0.25">
      <c r="A2" s="51">
        <v>45498.999305555553</v>
      </c>
      <c r="B2" s="38">
        <v>374.1</v>
      </c>
      <c r="C2" s="38">
        <v>120</v>
      </c>
      <c r="D2" s="38">
        <v>131</v>
      </c>
      <c r="E2" s="56">
        <f t="shared" ref="E2:E65" si="0">B2/D2</f>
        <v>2.8557251908396948</v>
      </c>
      <c r="F2" s="48">
        <f t="shared" ref="F2:F65" si="1">B2/(24*D2)</f>
        <v>0.11898854961832062</v>
      </c>
      <c r="G2" s="38"/>
      <c r="I2" s="10" t="s">
        <v>7</v>
      </c>
      <c r="J2" s="17">
        <f>AVERAGE(B162:B187)</f>
        <v>468.27692307692308</v>
      </c>
      <c r="K2" s="61">
        <f>SUM(B162:B187)/1000</f>
        <v>12.1752</v>
      </c>
      <c r="L2" s="16">
        <f>SUM(E162:E187)</f>
        <v>92.940458015267168</v>
      </c>
      <c r="M2" s="18">
        <f>K2*1000/(R2*26*131)</f>
        <v>0.61631603458399986</v>
      </c>
      <c r="N2" s="18">
        <f>AVERAGE(F162:F187)</f>
        <v>0.14894304169113332</v>
      </c>
      <c r="P2" s="15" t="s">
        <v>25</v>
      </c>
      <c r="Q2" s="13" t="s">
        <v>7</v>
      </c>
      <c r="R2" s="16">
        <v>5.8</v>
      </c>
    </row>
    <row r="3" spans="1:18" x14ac:dyDescent="0.25">
      <c r="A3" s="51">
        <v>45499.999305555553</v>
      </c>
      <c r="B3" s="38">
        <v>374.3</v>
      </c>
      <c r="C3" s="38">
        <v>120</v>
      </c>
      <c r="D3" s="38">
        <v>131</v>
      </c>
      <c r="E3" s="56">
        <f t="shared" si="0"/>
        <v>2.8572519083969468</v>
      </c>
      <c r="F3" s="48">
        <f t="shared" si="1"/>
        <v>0.11905216284987277</v>
      </c>
      <c r="G3" s="38"/>
      <c r="I3" s="6" t="s">
        <v>8</v>
      </c>
      <c r="J3" s="12">
        <f>AVERAGE(B188:B212)</f>
        <v>560.48400000000004</v>
      </c>
      <c r="K3" s="62">
        <f>SUM(B188:B212)/1000</f>
        <v>14.0121</v>
      </c>
      <c r="L3" s="20">
        <f>SUM(E188:E212)</f>
        <v>106.9625954198473</v>
      </c>
      <c r="M3" s="28">
        <f>K3*1000/(R3*26*131)</f>
        <v>0.68795083238903609</v>
      </c>
      <c r="N3" s="28">
        <f>AVERAGE(F188:F212)</f>
        <v>0.17827099236641225</v>
      </c>
      <c r="P3" s="1"/>
      <c r="Q3" s="14" t="s">
        <v>8</v>
      </c>
      <c r="R3" s="19">
        <v>5.98</v>
      </c>
    </row>
    <row r="4" spans="1:18" x14ac:dyDescent="0.25">
      <c r="A4" s="51">
        <v>45500.999305555553</v>
      </c>
      <c r="B4" s="38">
        <v>287.60000000000002</v>
      </c>
      <c r="C4" s="38">
        <v>120</v>
      </c>
      <c r="D4" s="38">
        <v>131</v>
      </c>
      <c r="E4" s="56">
        <f t="shared" si="0"/>
        <v>2.1954198473282442</v>
      </c>
      <c r="F4" s="48">
        <f t="shared" si="1"/>
        <v>9.1475826972010191E-2</v>
      </c>
      <c r="I4" s="10" t="s">
        <v>9</v>
      </c>
      <c r="J4" s="17">
        <f>AVERAGE(B213:B243)</f>
        <v>492.10000000000008</v>
      </c>
      <c r="K4" s="61">
        <f>SUM(B213:B243)/1000</f>
        <v>15.255100000000002</v>
      </c>
      <c r="L4" s="16">
        <f>SUM(E213:E243)</f>
        <v>116.45114503816791</v>
      </c>
      <c r="M4" s="18">
        <f>K4*1000/(R4*31*131)</f>
        <v>0.72941525235307203</v>
      </c>
      <c r="N4" s="18">
        <f>AVERAGE(F213:F243)</f>
        <v>0.15652035623409666</v>
      </c>
      <c r="P4" s="1"/>
      <c r="Q4" s="13" t="s">
        <v>9</v>
      </c>
      <c r="R4" s="16">
        <v>5.15</v>
      </c>
    </row>
    <row r="5" spans="1:18" x14ac:dyDescent="0.25">
      <c r="A5" s="51">
        <v>45501.999305555553</v>
      </c>
      <c r="B5" s="38">
        <v>371.4</v>
      </c>
      <c r="C5" s="38">
        <v>120</v>
      </c>
      <c r="D5" s="38">
        <v>131</v>
      </c>
      <c r="E5" s="56">
        <f t="shared" si="0"/>
        <v>2.8351145038167935</v>
      </c>
      <c r="F5" s="48">
        <f t="shared" si="1"/>
        <v>0.11812977099236641</v>
      </c>
      <c r="I5" s="6" t="s">
        <v>10</v>
      </c>
      <c r="J5" s="44">
        <f>AVERAGE(B244:B273)</f>
        <v>380.40666666666675</v>
      </c>
      <c r="K5" s="62">
        <f>SUM(B244:B273)/1000</f>
        <v>11.412200000000002</v>
      </c>
      <c r="L5" s="20">
        <f>SUM(E244:E274)</f>
        <v>89.683206106870244</v>
      </c>
      <c r="M5" s="28">
        <f>K5*1000/(R5*30*D2)</f>
        <v>0.60750369968166773</v>
      </c>
      <c r="N5" s="28">
        <f>AVERAGE(F244:F273)</f>
        <v>0.1209944868532655</v>
      </c>
      <c r="P5" s="1"/>
      <c r="Q5" s="15" t="s">
        <v>10</v>
      </c>
      <c r="R5" s="20">
        <v>4.78</v>
      </c>
    </row>
    <row r="6" spans="1:18" x14ac:dyDescent="0.25">
      <c r="A6" s="51">
        <v>45502.999305555553</v>
      </c>
      <c r="B6" s="38">
        <v>366.5</v>
      </c>
      <c r="C6" s="38">
        <v>120</v>
      </c>
      <c r="D6" s="38">
        <v>131</v>
      </c>
      <c r="E6" s="56">
        <f t="shared" si="0"/>
        <v>2.7977099236641223</v>
      </c>
      <c r="F6" s="48">
        <f t="shared" si="1"/>
        <v>0.11657124681933842</v>
      </c>
      <c r="I6" s="10" t="s">
        <v>11</v>
      </c>
      <c r="J6" s="45">
        <f>AVERAGE(B274:B304)</f>
        <v>364.76774193548397</v>
      </c>
      <c r="K6" s="64">
        <f>SUM(B274:B304)/1000</f>
        <v>11.307800000000002</v>
      </c>
      <c r="L6" s="16">
        <f>SUM(E274:E304)</f>
        <v>86.319083969465666</v>
      </c>
      <c r="M6" s="18">
        <f>K6*1000/(R6*31*D3)</f>
        <v>0.66774258505040351</v>
      </c>
      <c r="N6" s="18">
        <f>AVERAGE(F274:F304)</f>
        <v>0.11602027415250761</v>
      </c>
      <c r="P6" s="1"/>
      <c r="Q6" s="13" t="s">
        <v>11</v>
      </c>
      <c r="R6" s="16">
        <v>4.17</v>
      </c>
    </row>
    <row r="7" spans="1:18" x14ac:dyDescent="0.25">
      <c r="A7" s="51">
        <v>45503.999305555553</v>
      </c>
      <c r="B7" s="38">
        <v>357.5</v>
      </c>
      <c r="C7" s="38">
        <v>120</v>
      </c>
      <c r="D7" s="38">
        <v>131</v>
      </c>
      <c r="E7" s="56">
        <f t="shared" si="0"/>
        <v>2.7290076335877864</v>
      </c>
      <c r="F7" s="48">
        <f t="shared" si="1"/>
        <v>0.1137086513994911</v>
      </c>
      <c r="I7" s="6" t="s">
        <v>12</v>
      </c>
      <c r="J7" s="12">
        <f>AVERAGE(B305:B334)</f>
        <v>61.530000000000079</v>
      </c>
      <c r="K7" s="62">
        <f>SUM(B305:B334)/1000</f>
        <v>1.8459000000000023</v>
      </c>
      <c r="L7" s="20">
        <f>SUM(E305:E334)</f>
        <v>14.090839694656472</v>
      </c>
      <c r="M7" s="28">
        <f>K7*1000/(R7*30*D4)</f>
        <v>0.11568833903658875</v>
      </c>
      <c r="N7" s="59">
        <f>AVERAGE(F305:F334)</f>
        <v>1.9570610687022913E-2</v>
      </c>
      <c r="O7" s="60" t="s">
        <v>57</v>
      </c>
      <c r="P7" s="1"/>
      <c r="Q7" s="15" t="s">
        <v>12</v>
      </c>
      <c r="R7" s="20">
        <v>4.0599999999999996</v>
      </c>
    </row>
    <row r="8" spans="1:18" x14ac:dyDescent="0.25">
      <c r="A8" s="51">
        <v>45504.999305555553</v>
      </c>
      <c r="B8" s="38">
        <v>257.60000000000002</v>
      </c>
      <c r="C8" s="38">
        <v>120</v>
      </c>
      <c r="D8" s="38">
        <v>131</v>
      </c>
      <c r="E8" s="56">
        <f>B8/D8</f>
        <v>1.9664122137404583</v>
      </c>
      <c r="F8" s="48">
        <f t="shared" si="1"/>
        <v>8.1933842239185761E-2</v>
      </c>
      <c r="H8" s="46">
        <v>2024</v>
      </c>
      <c r="I8" s="10" t="s">
        <v>13</v>
      </c>
      <c r="J8" s="16">
        <f>AVERAGE(B2:B8)</f>
        <v>341.28571428571428</v>
      </c>
      <c r="K8" s="61">
        <f>SUM(B2:B8)/1000</f>
        <v>2.3889999999999998</v>
      </c>
      <c r="L8" s="16">
        <f>SUM(E2:E8)</f>
        <v>18.236641221374047</v>
      </c>
      <c r="M8" s="18">
        <f>K8*1000/(R8*31*D5)</f>
        <v>0.13744830585901449</v>
      </c>
      <c r="N8" s="18">
        <f>AVERAGE(F2:F8)</f>
        <v>0.10855143584151218</v>
      </c>
      <c r="P8" s="1"/>
      <c r="Q8" s="13" t="s">
        <v>13</v>
      </c>
      <c r="R8" s="16">
        <v>4.28</v>
      </c>
    </row>
    <row r="9" spans="1:18" x14ac:dyDescent="0.25">
      <c r="A9" s="51">
        <v>45505.999305555553</v>
      </c>
      <c r="B9" s="38">
        <v>339.7</v>
      </c>
      <c r="C9" s="38">
        <v>120</v>
      </c>
      <c r="D9" s="38">
        <v>131</v>
      </c>
      <c r="E9" s="56">
        <f t="shared" si="0"/>
        <v>2.5931297709923662</v>
      </c>
      <c r="F9" s="48">
        <f t="shared" si="1"/>
        <v>0.10804707379134859</v>
      </c>
      <c r="H9" s="46">
        <v>2024</v>
      </c>
      <c r="I9" s="6" t="s">
        <v>14</v>
      </c>
      <c r="J9" s="20">
        <f>AVERAGE(B9:B39)</f>
        <v>359.59354838709675</v>
      </c>
      <c r="K9" s="62">
        <f>SUM(B9:B39)/1000</f>
        <v>11.147399999999999</v>
      </c>
      <c r="L9" s="20">
        <f>SUM(E9:E39)</f>
        <v>85.094656488549603</v>
      </c>
      <c r="M9" s="28">
        <f>K9*1000/(R9*31*D6)</f>
        <v>0.53300755708455749</v>
      </c>
      <c r="N9" s="28">
        <f>AVERAGE(F9:F39)</f>
        <v>0.11437453829106133</v>
      </c>
      <c r="P9" s="1"/>
      <c r="Q9" s="15" t="s">
        <v>14</v>
      </c>
      <c r="R9" s="20">
        <v>5.15</v>
      </c>
    </row>
    <row r="10" spans="1:18" x14ac:dyDescent="0.25">
      <c r="A10" s="51">
        <v>45506.999305555553</v>
      </c>
      <c r="B10" s="38">
        <v>380.8</v>
      </c>
      <c r="C10" s="38">
        <v>120</v>
      </c>
      <c r="D10" s="38">
        <v>131</v>
      </c>
      <c r="E10" s="56">
        <f t="shared" si="0"/>
        <v>2.9068702290076338</v>
      </c>
      <c r="F10" s="48">
        <f>B10/(24*D10)</f>
        <v>0.12111959287531807</v>
      </c>
      <c r="H10" s="46">
        <v>2024</v>
      </c>
      <c r="I10" s="10" t="s">
        <v>15</v>
      </c>
      <c r="J10" s="16">
        <f>AVERAGE(B40:B69)</f>
        <v>394.0066666666666</v>
      </c>
      <c r="K10" s="61">
        <f>SUM(B40:B69)/1000</f>
        <v>11.820199999999998</v>
      </c>
      <c r="L10" s="16">
        <f>SUM(E40:E69)</f>
        <v>90.230534351145053</v>
      </c>
      <c r="M10" s="18">
        <f>K10*1000/(R10*30*D7)</f>
        <v>0.54290333544611935</v>
      </c>
      <c r="N10" s="18">
        <f>AVERAGE(F40:F69)</f>
        <v>0.12532018659881256</v>
      </c>
      <c r="P10" s="1"/>
      <c r="Q10" s="13" t="s">
        <v>15</v>
      </c>
      <c r="R10" s="16">
        <v>5.54</v>
      </c>
    </row>
    <row r="11" spans="1:18" x14ac:dyDescent="0.25">
      <c r="A11" s="51">
        <v>45507.999305555553</v>
      </c>
      <c r="B11" s="38">
        <v>199.1</v>
      </c>
      <c r="C11" s="38">
        <v>120</v>
      </c>
      <c r="D11" s="38">
        <v>131</v>
      </c>
      <c r="E11" s="56">
        <f t="shared" si="0"/>
        <v>1.5198473282442748</v>
      </c>
      <c r="F11" s="48">
        <f t="shared" si="1"/>
        <v>6.3326972010178118E-2</v>
      </c>
      <c r="H11" s="46">
        <v>2024</v>
      </c>
      <c r="I11" s="6" t="s">
        <v>16</v>
      </c>
      <c r="J11" s="20">
        <f>AVERAGE(B70:B100)</f>
        <v>394.51290322580644</v>
      </c>
      <c r="K11" s="62">
        <f>SUM(B70:B100)/1000</f>
        <v>12.229899999999999</v>
      </c>
      <c r="L11" s="20">
        <f>SUM(E70:E100)</f>
        <v>93.35801526717556</v>
      </c>
      <c r="M11" s="28">
        <f>K11*1000/(R11*31*D8)</f>
        <v>0.53207577377849968</v>
      </c>
      <c r="N11" s="28">
        <f>AVERAGE(F70:F100)</f>
        <v>0.12548120331609619</v>
      </c>
      <c r="P11" s="1"/>
      <c r="Q11" s="15" t="s">
        <v>16</v>
      </c>
      <c r="R11" s="20">
        <v>5.66</v>
      </c>
    </row>
    <row r="12" spans="1:18" x14ac:dyDescent="0.25">
      <c r="A12" s="51">
        <v>45508.999305555553</v>
      </c>
      <c r="B12" s="38">
        <v>258.2</v>
      </c>
      <c r="C12" s="38">
        <v>120</v>
      </c>
      <c r="D12" s="38">
        <v>131</v>
      </c>
      <c r="E12" s="56">
        <f t="shared" si="0"/>
        <v>1.9709923664122138</v>
      </c>
      <c r="F12" s="48">
        <f t="shared" si="1"/>
        <v>8.2124681933842231E-2</v>
      </c>
      <c r="H12" s="46">
        <v>2024</v>
      </c>
      <c r="I12" s="10" t="s">
        <v>17</v>
      </c>
      <c r="J12" s="16">
        <f>AVERAGE(B101:B130)</f>
        <v>432.38000000000005</v>
      </c>
      <c r="K12" s="61">
        <f>SUM(B101:B130)/1000</f>
        <v>12.971400000000001</v>
      </c>
      <c r="L12" s="16">
        <f>SUM(E101:E130)</f>
        <v>99.018320610687013</v>
      </c>
      <c r="M12" s="18">
        <f>K12*1000/(R12*30*D9)</f>
        <v>0.61693657701362636</v>
      </c>
      <c r="N12" s="18">
        <f>AVERAGE(F101:F130)</f>
        <v>0.13752544529262087</v>
      </c>
      <c r="P12" s="1"/>
      <c r="Q12" s="13" t="s">
        <v>17</v>
      </c>
      <c r="R12" s="16">
        <v>5.35</v>
      </c>
    </row>
    <row r="13" spans="1:18" x14ac:dyDescent="0.25">
      <c r="A13" s="51">
        <v>45509.999305555553</v>
      </c>
      <c r="B13" s="38">
        <v>376</v>
      </c>
      <c r="C13" s="38">
        <v>120</v>
      </c>
      <c r="D13" s="38">
        <v>131</v>
      </c>
      <c r="E13" s="56">
        <f t="shared" si="0"/>
        <v>2.8702290076335877</v>
      </c>
      <c r="F13" s="48">
        <f t="shared" si="1"/>
        <v>0.11959287531806616</v>
      </c>
      <c r="H13" s="46">
        <v>2024</v>
      </c>
      <c r="I13" s="6" t="s">
        <v>18</v>
      </c>
      <c r="J13" s="20">
        <f>AVERAGE(B131:B161)</f>
        <v>427.27096774193546</v>
      </c>
      <c r="K13" s="62">
        <f>SUM(B131:B161)/1000</f>
        <v>13.2454</v>
      </c>
      <c r="L13" s="20">
        <f>SUM(E131:E161)</f>
        <v>101.10992366412212</v>
      </c>
      <c r="M13" s="28">
        <f>K13*1000/(R13*31*D10)</f>
        <v>0.57829972354222225</v>
      </c>
      <c r="N13" s="28">
        <f>AVERAGE(F131:F161)</f>
        <v>0.13590043503242222</v>
      </c>
      <c r="P13" s="1"/>
      <c r="Q13" s="15" t="s">
        <v>18</v>
      </c>
      <c r="R13" s="20">
        <v>5.64</v>
      </c>
    </row>
    <row r="14" spans="1:18" x14ac:dyDescent="0.25">
      <c r="A14" s="51">
        <v>45510.999305555553</v>
      </c>
      <c r="B14" s="38">
        <v>393.7</v>
      </c>
      <c r="C14" s="38">
        <v>120</v>
      </c>
      <c r="D14" s="38">
        <v>131</v>
      </c>
      <c r="E14" s="56">
        <f t="shared" si="0"/>
        <v>3.0053435114503815</v>
      </c>
      <c r="F14" s="48">
        <f t="shared" si="1"/>
        <v>0.12522264631043256</v>
      </c>
      <c r="I14" s="22" t="s">
        <v>28</v>
      </c>
      <c r="J14" s="33">
        <f>AVERAGE(J2:J13)</f>
        <v>389.71792766552443</v>
      </c>
      <c r="K14" s="63">
        <f>SUM(K2:K13)</f>
        <v>129.8116</v>
      </c>
      <c r="L14" s="33">
        <f>SUM(L2:L13)</f>
        <v>993.49541984732821</v>
      </c>
      <c r="M14" s="24">
        <f>K14*1000/(R14*365*131)</f>
        <v>0.52921479573543173</v>
      </c>
      <c r="N14" s="26">
        <f>AVERAGE(N2:N13)</f>
        <v>0.12395608386308031</v>
      </c>
      <c r="P14" s="1"/>
      <c r="Q14" s="29" t="s">
        <v>26</v>
      </c>
      <c r="R14" s="16">
        <v>5.13</v>
      </c>
    </row>
    <row r="15" spans="1:18" x14ac:dyDescent="0.25">
      <c r="A15" s="51">
        <v>45511.999305555553</v>
      </c>
      <c r="B15" s="38">
        <v>370.1</v>
      </c>
      <c r="C15" s="38">
        <v>120</v>
      </c>
      <c r="D15" s="38">
        <v>131</v>
      </c>
      <c r="E15" s="56">
        <f t="shared" si="0"/>
        <v>2.8251908396946566</v>
      </c>
      <c r="F15" s="48">
        <f t="shared" si="1"/>
        <v>0.11771628498727736</v>
      </c>
    </row>
    <row r="16" spans="1:18" x14ac:dyDescent="0.25">
      <c r="A16" s="51">
        <v>45512.999305555553</v>
      </c>
      <c r="B16" s="38">
        <v>250.8</v>
      </c>
      <c r="C16" s="38">
        <v>120</v>
      </c>
      <c r="D16" s="38">
        <v>131</v>
      </c>
      <c r="E16" s="56">
        <f t="shared" si="0"/>
        <v>1.9145038167938933</v>
      </c>
      <c r="F16" s="48">
        <f t="shared" si="1"/>
        <v>7.9770992366412219E-2</v>
      </c>
      <c r="H16" s="55"/>
      <c r="J16" s="57"/>
      <c r="K16" s="57"/>
    </row>
    <row r="17" spans="1:75" x14ac:dyDescent="0.25">
      <c r="A17" s="51">
        <v>45513.999305555553</v>
      </c>
      <c r="B17" s="38">
        <v>345.7</v>
      </c>
      <c r="C17" s="38">
        <v>120</v>
      </c>
      <c r="D17" s="38">
        <v>131</v>
      </c>
      <c r="E17" s="56">
        <f t="shared" si="0"/>
        <v>2.6389312977099237</v>
      </c>
      <c r="F17" s="48">
        <f t="shared" si="1"/>
        <v>0.10995547073791348</v>
      </c>
      <c r="M17" s="2"/>
    </row>
    <row r="18" spans="1:75" x14ac:dyDescent="0.25">
      <c r="A18" s="51">
        <v>45514.999305555553</v>
      </c>
      <c r="B18" s="38">
        <v>280.89999999999998</v>
      </c>
      <c r="C18" s="38">
        <v>120</v>
      </c>
      <c r="D18" s="38">
        <v>131</v>
      </c>
      <c r="E18" s="56">
        <f t="shared" si="0"/>
        <v>2.1442748091603052</v>
      </c>
      <c r="F18" s="48">
        <f t="shared" si="1"/>
        <v>8.9344783715012713E-2</v>
      </c>
    </row>
    <row r="19" spans="1:75" x14ac:dyDescent="0.25">
      <c r="A19" s="51">
        <v>45515.999305555553</v>
      </c>
      <c r="B19" s="38">
        <v>392.3</v>
      </c>
      <c r="C19" s="38">
        <v>120</v>
      </c>
      <c r="D19" s="38">
        <v>131</v>
      </c>
      <c r="E19" s="56">
        <f t="shared" si="0"/>
        <v>2.9946564885496185</v>
      </c>
      <c r="F19" s="48">
        <f t="shared" si="1"/>
        <v>0.12477735368956744</v>
      </c>
    </row>
    <row r="20" spans="1:75" x14ac:dyDescent="0.25">
      <c r="A20" s="51">
        <v>45516.999305555553</v>
      </c>
      <c r="B20" s="38">
        <v>405.9</v>
      </c>
      <c r="C20" s="38">
        <v>120</v>
      </c>
      <c r="D20" s="38">
        <v>131</v>
      </c>
      <c r="E20" s="56">
        <f t="shared" si="0"/>
        <v>3.0984732824427481</v>
      </c>
      <c r="F20" s="48">
        <f t="shared" si="1"/>
        <v>0.1291030534351145</v>
      </c>
      <c r="J20" s="72" t="s">
        <v>55</v>
      </c>
      <c r="K20" s="73"/>
      <c r="L20" s="73"/>
      <c r="M20" s="73"/>
      <c r="N20" s="73"/>
    </row>
    <row r="21" spans="1:75" x14ac:dyDescent="0.25">
      <c r="A21" s="51">
        <v>45517.999305555553</v>
      </c>
      <c r="B21" s="38">
        <v>289.8</v>
      </c>
      <c r="C21" s="38">
        <v>120</v>
      </c>
      <c r="D21" s="38">
        <v>131</v>
      </c>
      <c r="E21" s="56">
        <f t="shared" si="0"/>
        <v>2.2122137404580156</v>
      </c>
      <c r="F21" s="48">
        <f t="shared" si="1"/>
        <v>9.2175572519083968E-2</v>
      </c>
      <c r="I21" s="49">
        <v>2025</v>
      </c>
      <c r="J21" s="6" t="s">
        <v>22</v>
      </c>
      <c r="K21" s="6" t="s">
        <v>59</v>
      </c>
      <c r="L21" s="6" t="s">
        <v>20</v>
      </c>
      <c r="M21" s="7" t="s">
        <v>6</v>
      </c>
      <c r="N21" s="27" t="s">
        <v>54</v>
      </c>
      <c r="P21" s="10" t="s">
        <v>23</v>
      </c>
      <c r="Q21" s="67" t="s">
        <v>24</v>
      </c>
      <c r="R21" s="68"/>
      <c r="BS21" s="12">
        <f>AVERAGE(B153:B182)</f>
        <v>426.40333333333336</v>
      </c>
      <c r="BT21" s="12">
        <f>SUM(B2:B8)/1000</f>
        <v>2.3889999999999998</v>
      </c>
      <c r="BU21" s="20">
        <f>SUM(E153:E182)</f>
        <v>97.649618320610671</v>
      </c>
      <c r="BV21" s="28">
        <f>BS21/(R7*732*0.202)</f>
        <v>0.71028412297742749</v>
      </c>
      <c r="BW21" s="28">
        <f>AVERAGE(F153:F182)</f>
        <v>0.13562446988973706</v>
      </c>
    </row>
    <row r="22" spans="1:75" x14ac:dyDescent="0.25">
      <c r="A22" s="51">
        <v>45518.999305555553</v>
      </c>
      <c r="B22" s="38">
        <v>392.2</v>
      </c>
      <c r="C22" s="38">
        <v>120</v>
      </c>
      <c r="D22" s="38">
        <v>131</v>
      </c>
      <c r="E22" s="56">
        <f t="shared" si="0"/>
        <v>2.9938931297709921</v>
      </c>
      <c r="F22" s="48">
        <f t="shared" si="1"/>
        <v>0.12474554707379135</v>
      </c>
      <c r="I22" s="10" t="s">
        <v>7</v>
      </c>
      <c r="J22" s="17">
        <v>468.27692307692303</v>
      </c>
      <c r="K22" s="61">
        <f>12175.2/1000</f>
        <v>12.1752</v>
      </c>
      <c r="L22" s="16">
        <v>92.940458015267168</v>
      </c>
      <c r="M22" s="18">
        <v>0.61631603458399997</v>
      </c>
      <c r="N22" s="18">
        <v>0.14894304169113301</v>
      </c>
      <c r="P22" s="15" t="s">
        <v>25</v>
      </c>
      <c r="Q22" s="13" t="s">
        <v>7</v>
      </c>
      <c r="R22" s="16">
        <v>5.8</v>
      </c>
    </row>
    <row r="23" spans="1:75" x14ac:dyDescent="0.25">
      <c r="A23" s="51">
        <v>45519.999305555553</v>
      </c>
      <c r="B23" s="38">
        <v>383</v>
      </c>
      <c r="C23" s="38">
        <v>120</v>
      </c>
      <c r="D23" s="38">
        <v>131</v>
      </c>
      <c r="E23" s="56">
        <f t="shared" si="0"/>
        <v>2.9236641221374047</v>
      </c>
      <c r="F23" s="48">
        <f t="shared" si="1"/>
        <v>0.12181933842239186</v>
      </c>
      <c r="I23" s="6" t="s">
        <v>8</v>
      </c>
      <c r="J23" s="12">
        <v>560.48400000000004</v>
      </c>
      <c r="K23" s="62">
        <f>14012.1/1000</f>
        <v>14.0121</v>
      </c>
      <c r="L23" s="20">
        <v>106.9625954198473</v>
      </c>
      <c r="M23" s="28">
        <v>0.68795083238903609</v>
      </c>
      <c r="N23" s="28">
        <v>0.17827099236641225</v>
      </c>
      <c r="P23" s="1"/>
      <c r="Q23" s="14" t="s">
        <v>8</v>
      </c>
      <c r="R23" s="19">
        <v>5.98</v>
      </c>
    </row>
    <row r="24" spans="1:75" x14ac:dyDescent="0.25">
      <c r="A24" s="51">
        <v>45520.999305555553</v>
      </c>
      <c r="B24" s="38">
        <v>381</v>
      </c>
      <c r="C24" s="38">
        <v>120</v>
      </c>
      <c r="D24" s="38">
        <v>131</v>
      </c>
      <c r="E24" s="56">
        <f t="shared" si="0"/>
        <v>2.9083969465648853</v>
      </c>
      <c r="F24" s="48">
        <f t="shared" si="1"/>
        <v>0.12118320610687022</v>
      </c>
      <c r="I24" s="10" t="s">
        <v>9</v>
      </c>
      <c r="J24" s="17">
        <v>492.10000000000008</v>
      </c>
      <c r="K24" s="61">
        <f>15255.1/1000</f>
        <v>15.255100000000001</v>
      </c>
      <c r="L24" s="16">
        <v>116.45114503816791</v>
      </c>
      <c r="M24" s="18">
        <v>0.72941525235307203</v>
      </c>
      <c r="N24" s="18">
        <v>0.15652035623409666</v>
      </c>
      <c r="P24" s="1"/>
      <c r="Q24" s="13" t="s">
        <v>9</v>
      </c>
      <c r="R24" s="16">
        <v>5.15</v>
      </c>
    </row>
    <row r="25" spans="1:75" x14ac:dyDescent="0.25">
      <c r="A25" s="51">
        <v>45521.999305555553</v>
      </c>
      <c r="B25" s="38">
        <v>396.9</v>
      </c>
      <c r="C25" s="38">
        <v>120</v>
      </c>
      <c r="D25" s="38">
        <v>131</v>
      </c>
      <c r="E25" s="56">
        <f t="shared" si="0"/>
        <v>3.0297709923664122</v>
      </c>
      <c r="F25" s="48">
        <f t="shared" si="1"/>
        <v>0.12624045801526718</v>
      </c>
      <c r="I25" s="6" t="s">
        <v>10</v>
      </c>
      <c r="J25" s="44">
        <v>380.40666666666698</v>
      </c>
      <c r="K25" s="62">
        <f>11412.2/1000</f>
        <v>11.4122</v>
      </c>
      <c r="L25" s="20">
        <v>89.683206106870244</v>
      </c>
      <c r="M25" s="28">
        <v>0.60750369968166773</v>
      </c>
      <c r="N25" s="28">
        <v>0.120994486853265</v>
      </c>
      <c r="P25" s="1"/>
      <c r="Q25" s="15" t="s">
        <v>10</v>
      </c>
      <c r="R25" s="20">
        <v>4.78</v>
      </c>
    </row>
    <row r="26" spans="1:75" x14ac:dyDescent="0.25">
      <c r="A26" s="51">
        <v>45522.999305555553</v>
      </c>
      <c r="B26" s="38">
        <v>394.7</v>
      </c>
      <c r="C26" s="38">
        <v>120</v>
      </c>
      <c r="D26" s="38">
        <v>131</v>
      </c>
      <c r="E26" s="56">
        <f t="shared" si="0"/>
        <v>3.0129770992366409</v>
      </c>
      <c r="F26" s="48">
        <f t="shared" si="1"/>
        <v>0.12554071246819337</v>
      </c>
      <c r="I26" s="10" t="s">
        <v>11</v>
      </c>
      <c r="J26" s="45">
        <v>364.76774193548397</v>
      </c>
      <c r="K26" s="64">
        <f>11307.8/1000</f>
        <v>11.307799999999999</v>
      </c>
      <c r="L26" s="16">
        <v>86.319083969465666</v>
      </c>
      <c r="M26" s="18">
        <v>0.66774258505040351</v>
      </c>
      <c r="N26" s="18">
        <v>0.116020274152508</v>
      </c>
      <c r="P26" s="1"/>
      <c r="Q26" s="13" t="s">
        <v>11</v>
      </c>
      <c r="R26" s="16">
        <v>4.17</v>
      </c>
    </row>
    <row r="27" spans="1:75" x14ac:dyDescent="0.25">
      <c r="A27" s="51">
        <v>45523.999305555553</v>
      </c>
      <c r="B27" s="38">
        <v>399.9</v>
      </c>
      <c r="C27" s="38">
        <v>120</v>
      </c>
      <c r="D27" s="38">
        <v>131</v>
      </c>
      <c r="E27" s="56">
        <f t="shared" si="0"/>
        <v>3.0526717557251906</v>
      </c>
      <c r="F27" s="48">
        <f t="shared" si="1"/>
        <v>0.12719465648854961</v>
      </c>
      <c r="I27" s="6" t="s">
        <v>12</v>
      </c>
      <c r="J27" s="12">
        <v>61.530000000000101</v>
      </c>
      <c r="K27" s="62">
        <f>1845.9/1000</f>
        <v>1.8459000000000001</v>
      </c>
      <c r="L27" s="20">
        <f>SUM(E305:E334)</f>
        <v>14.090839694656472</v>
      </c>
      <c r="M27" s="28">
        <v>0.115688339036589</v>
      </c>
      <c r="N27" s="28">
        <f>AVERAGE(F305:F334)</f>
        <v>1.9570610687022913E-2</v>
      </c>
      <c r="P27" s="1"/>
      <c r="Q27" s="15" t="s">
        <v>12</v>
      </c>
      <c r="R27" s="20">
        <v>4.0599999999999996</v>
      </c>
    </row>
    <row r="28" spans="1:75" x14ac:dyDescent="0.25">
      <c r="A28" s="51">
        <v>45524.999305555553</v>
      </c>
      <c r="B28" s="38">
        <v>386.8</v>
      </c>
      <c r="C28" s="38">
        <v>120</v>
      </c>
      <c r="D28" s="38">
        <v>131</v>
      </c>
      <c r="E28" s="56">
        <f t="shared" si="0"/>
        <v>2.9526717557251909</v>
      </c>
      <c r="F28" s="48">
        <f t="shared" si="1"/>
        <v>0.12302798982188295</v>
      </c>
      <c r="I28" s="10" t="s">
        <v>13</v>
      </c>
      <c r="J28" s="16">
        <f>AVERAGE(B335:B365)</f>
        <v>380.25806451612902</v>
      </c>
      <c r="K28" s="61">
        <f>SUM(B335:B365)/1000</f>
        <v>11.788</v>
      </c>
      <c r="L28" s="16">
        <f>SUM(E335:E365)</f>
        <v>89.984732824427482</v>
      </c>
      <c r="M28" s="18">
        <f>K28*1000/(R28*31*D25)</f>
        <v>0.67820871890584467</v>
      </c>
      <c r="N28" s="18">
        <f>AVERAGE(F335:F365)</f>
        <v>0.12094722153820898</v>
      </c>
      <c r="P28" s="1"/>
      <c r="Q28" s="13" t="s">
        <v>13</v>
      </c>
      <c r="R28" s="16">
        <v>4.28</v>
      </c>
    </row>
    <row r="29" spans="1:75" x14ac:dyDescent="0.25">
      <c r="A29" s="51">
        <v>45525.999305555553</v>
      </c>
      <c r="B29" s="38">
        <v>390.7</v>
      </c>
      <c r="C29" s="38">
        <v>120</v>
      </c>
      <c r="D29" s="38">
        <v>131</v>
      </c>
      <c r="E29" s="56">
        <f t="shared" si="0"/>
        <v>2.9824427480916031</v>
      </c>
      <c r="F29" s="48">
        <f t="shared" si="1"/>
        <v>0.12426844783715012</v>
      </c>
      <c r="I29" s="6" t="s">
        <v>14</v>
      </c>
      <c r="J29" s="20">
        <f>AVERAGE(B366:B396)</f>
        <v>438.44838709677413</v>
      </c>
      <c r="K29" s="62">
        <f>SUM(B366:B396)/1000</f>
        <v>13.591899999999997</v>
      </c>
      <c r="L29" s="20">
        <f>SUM(E366:E396)</f>
        <v>103.75496183206111</v>
      </c>
      <c r="M29" s="28">
        <f>K29*1000/(R29*31*D26)</f>
        <v>0.6498901461450739</v>
      </c>
      <c r="N29" s="28">
        <f>AVERAGE(F366:F396)</f>
        <v>0.13945559386029716</v>
      </c>
      <c r="P29" s="1"/>
      <c r="Q29" s="15" t="s">
        <v>14</v>
      </c>
      <c r="R29" s="20">
        <v>5.15</v>
      </c>
    </row>
    <row r="30" spans="1:75" x14ac:dyDescent="0.25">
      <c r="A30" s="51">
        <v>45526.999305555553</v>
      </c>
      <c r="B30" s="38">
        <v>410.9</v>
      </c>
      <c r="C30" s="38">
        <v>120</v>
      </c>
      <c r="D30" s="38">
        <v>131</v>
      </c>
      <c r="E30" s="56">
        <f t="shared" si="0"/>
        <v>3.1366412213740458</v>
      </c>
      <c r="F30" s="48">
        <f t="shared" si="1"/>
        <v>0.13069338422391857</v>
      </c>
      <c r="I30" s="10" t="s">
        <v>15</v>
      </c>
      <c r="J30" s="16">
        <f>AVERAGE(B397:B426)</f>
        <v>474.08333333333326</v>
      </c>
      <c r="K30" s="61">
        <f>SUM(B397:B426)/1000</f>
        <v>14.222499999999998</v>
      </c>
      <c r="L30" s="16">
        <f>SUM(E397:E426)</f>
        <v>108.5687022900763</v>
      </c>
      <c r="M30" s="18">
        <f>K30*1000/(R30*30*D27)</f>
        <v>0.65324128935063985</v>
      </c>
      <c r="N30" s="18">
        <f>AVERAGE(F397:F426)</f>
        <v>0.15078986429177269</v>
      </c>
      <c r="P30" s="1"/>
      <c r="Q30" s="13" t="s">
        <v>15</v>
      </c>
      <c r="R30" s="16">
        <v>5.54</v>
      </c>
    </row>
    <row r="31" spans="1:75" x14ac:dyDescent="0.25">
      <c r="A31" s="51">
        <v>45527.999305555553</v>
      </c>
      <c r="B31" s="38">
        <v>392</v>
      </c>
      <c r="C31" s="38">
        <v>120</v>
      </c>
      <c r="D31" s="38">
        <v>131</v>
      </c>
      <c r="E31" s="56">
        <f t="shared" si="0"/>
        <v>2.9923664122137406</v>
      </c>
      <c r="F31" s="48">
        <f t="shared" si="1"/>
        <v>0.12468193384223919</v>
      </c>
      <c r="I31" s="6" t="s">
        <v>16</v>
      </c>
      <c r="J31" s="20">
        <f>AVERAGE(B427:B457)</f>
        <v>465.75806451612897</v>
      </c>
      <c r="K31" s="65">
        <f>SUM(B427:B457)/1000</f>
        <v>14.438499999999998</v>
      </c>
      <c r="L31" s="20">
        <f>SUM(E427:E457)</f>
        <v>110.2175572519084</v>
      </c>
      <c r="M31" s="18">
        <f>K31*1000/(R31*31*D28)</f>
        <v>0.62816344039614935</v>
      </c>
      <c r="N31" s="18">
        <f>AVERAGE(F427:F457)</f>
        <v>0.1481418780267586</v>
      </c>
      <c r="P31" s="1"/>
      <c r="Q31" s="15" t="s">
        <v>16</v>
      </c>
      <c r="R31" s="20">
        <v>5.66</v>
      </c>
    </row>
    <row r="32" spans="1:75" x14ac:dyDescent="0.25">
      <c r="A32" s="51">
        <v>45528.999305555553</v>
      </c>
      <c r="B32" s="38">
        <v>276.5</v>
      </c>
      <c r="C32" s="38">
        <v>120</v>
      </c>
      <c r="D32" s="38">
        <v>131</v>
      </c>
      <c r="E32" s="56">
        <f t="shared" si="0"/>
        <v>2.1106870229007635</v>
      </c>
      <c r="F32" s="48">
        <f t="shared" si="1"/>
        <v>8.7945292620865145E-2</v>
      </c>
      <c r="I32" s="10" t="s">
        <v>17</v>
      </c>
      <c r="J32" s="16">
        <f>AVERAGE(B458:B487)</f>
        <v>488.91</v>
      </c>
      <c r="K32" s="66">
        <f>SUM(B458:B487)/1000</f>
        <v>14.667300000000001</v>
      </c>
      <c r="L32" s="16">
        <f>SUM(E458:E487)</f>
        <v>111.9641221374046</v>
      </c>
      <c r="M32" s="18">
        <f>K32*1000/(R32*30*D29)</f>
        <v>0.69759577655703797</v>
      </c>
      <c r="N32" s="18">
        <f>AVERAGE(F458:F487)</f>
        <v>0.15550572519083974</v>
      </c>
      <c r="P32" s="1"/>
      <c r="Q32" s="13" t="s">
        <v>17</v>
      </c>
      <c r="R32" s="16">
        <v>5.35</v>
      </c>
    </row>
    <row r="33" spans="1:18" x14ac:dyDescent="0.25">
      <c r="A33" s="51">
        <v>45529.999305555553</v>
      </c>
      <c r="B33" s="38">
        <v>349.2</v>
      </c>
      <c r="C33" s="38">
        <v>120</v>
      </c>
      <c r="D33" s="38">
        <v>131</v>
      </c>
      <c r="E33" s="56">
        <f t="shared" si="0"/>
        <v>2.665648854961832</v>
      </c>
      <c r="F33" s="48">
        <f t="shared" si="1"/>
        <v>0.11106870229007633</v>
      </c>
      <c r="I33" s="6" t="s">
        <v>18</v>
      </c>
      <c r="J33" s="12"/>
      <c r="K33" s="65"/>
      <c r="L33" s="20"/>
      <c r="M33" s="18">
        <f>K33*1000/(R33*30*D30)</f>
        <v>0</v>
      </c>
      <c r="N33" s="18">
        <f t="shared" ref="N33" si="2">AVERAGE(F400:F429)</f>
        <v>0.15613231552162843</v>
      </c>
      <c r="P33" s="1"/>
      <c r="Q33" s="15" t="s">
        <v>18</v>
      </c>
      <c r="R33" s="20">
        <v>5.64</v>
      </c>
    </row>
    <row r="34" spans="1:18" x14ac:dyDescent="0.25">
      <c r="A34" s="51">
        <v>45530.999305555553</v>
      </c>
      <c r="B34" s="38">
        <v>244.9</v>
      </c>
      <c r="C34" s="38">
        <v>120</v>
      </c>
      <c r="D34" s="38">
        <v>131</v>
      </c>
      <c r="E34" s="56">
        <f t="shared" si="0"/>
        <v>1.8694656488549619</v>
      </c>
      <c r="F34" s="48">
        <f t="shared" si="1"/>
        <v>7.7894402035623408E-2</v>
      </c>
      <c r="I34" s="22" t="s">
        <v>28</v>
      </c>
      <c r="J34" s="33">
        <f>AVERAGE(J22:J33)</f>
        <v>415.91119828558544</v>
      </c>
      <c r="K34" s="63">
        <f>SUM(K22:K33)</f>
        <v>134.7165</v>
      </c>
      <c r="L34" s="33">
        <f>SUM(L22:L33)</f>
        <v>1030.9374045801526</v>
      </c>
      <c r="M34" s="24">
        <f>K34*1000/(R34*365*131)</f>
        <v>0.54921104916426799</v>
      </c>
      <c r="N34" s="26">
        <f>AVERAGE(N22:N33)</f>
        <v>0.13427436336782864</v>
      </c>
      <c r="P34" s="1"/>
      <c r="Q34" s="29" t="s">
        <v>26</v>
      </c>
      <c r="R34" s="16">
        <v>5.13</v>
      </c>
    </row>
    <row r="35" spans="1:18" x14ac:dyDescent="0.25">
      <c r="A35" s="51">
        <v>45531.999305555553</v>
      </c>
      <c r="B35" s="38">
        <v>394.2</v>
      </c>
      <c r="C35" s="38">
        <v>120</v>
      </c>
      <c r="D35" s="38">
        <v>131</v>
      </c>
      <c r="E35" s="56">
        <f t="shared" si="0"/>
        <v>3.0091603053435114</v>
      </c>
      <c r="F35" s="48">
        <f t="shared" si="1"/>
        <v>0.12538167938931297</v>
      </c>
    </row>
    <row r="36" spans="1:18" x14ac:dyDescent="0.25">
      <c r="A36" s="51">
        <v>45532.999305555553</v>
      </c>
      <c r="B36" s="38">
        <v>424.4</v>
      </c>
      <c r="C36" s="38">
        <v>120</v>
      </c>
      <c r="D36" s="38">
        <v>131</v>
      </c>
      <c r="E36" s="56">
        <f t="shared" si="0"/>
        <v>3.2396946564885494</v>
      </c>
      <c r="F36" s="48">
        <f t="shared" si="1"/>
        <v>0.13498727735368957</v>
      </c>
    </row>
    <row r="37" spans="1:18" x14ac:dyDescent="0.25">
      <c r="A37" s="51">
        <v>45533.999305555553</v>
      </c>
      <c r="B37" s="38">
        <v>391.5</v>
      </c>
      <c r="C37" s="38">
        <v>120</v>
      </c>
      <c r="D37" s="38">
        <v>131</v>
      </c>
      <c r="E37" s="56">
        <f t="shared" si="0"/>
        <v>2.9885496183206106</v>
      </c>
      <c r="F37" s="48">
        <f t="shared" si="1"/>
        <v>0.12452290076335878</v>
      </c>
    </row>
    <row r="38" spans="1:18" x14ac:dyDescent="0.25">
      <c r="A38" s="51">
        <v>45534.999305555553</v>
      </c>
      <c r="B38" s="38">
        <v>431.2</v>
      </c>
      <c r="C38" s="38">
        <v>120</v>
      </c>
      <c r="D38" s="38">
        <v>131</v>
      </c>
      <c r="E38" s="56">
        <f t="shared" si="0"/>
        <v>3.2916030534351144</v>
      </c>
      <c r="F38" s="48">
        <f t="shared" si="1"/>
        <v>0.13715012722646311</v>
      </c>
    </row>
    <row r="39" spans="1:18" x14ac:dyDescent="0.25">
      <c r="A39" s="51">
        <v>45535.999305555553</v>
      </c>
      <c r="B39" s="38">
        <v>424.4</v>
      </c>
      <c r="C39" s="38">
        <v>120</v>
      </c>
      <c r="D39" s="38">
        <v>131</v>
      </c>
      <c r="E39" s="56">
        <f t="shared" si="0"/>
        <v>3.2396946564885494</v>
      </c>
      <c r="F39" s="48">
        <f t="shared" si="1"/>
        <v>0.13498727735368957</v>
      </c>
    </row>
    <row r="40" spans="1:18" x14ac:dyDescent="0.25">
      <c r="A40" s="51">
        <v>45536.999305555553</v>
      </c>
      <c r="B40" s="38">
        <v>407.7</v>
      </c>
      <c r="C40" s="38">
        <v>120</v>
      </c>
      <c r="D40" s="38">
        <v>131</v>
      </c>
      <c r="E40" s="56">
        <f t="shared" si="0"/>
        <v>3.112213740458015</v>
      </c>
      <c r="F40" s="48">
        <f t="shared" si="1"/>
        <v>0.12967557251908396</v>
      </c>
      <c r="M40" s="2">
        <f>AVERAGE(M22:M33)</f>
        <v>0.5609763428707929</v>
      </c>
    </row>
    <row r="41" spans="1:18" x14ac:dyDescent="0.25">
      <c r="A41" s="51">
        <v>45537.999305555553</v>
      </c>
      <c r="B41" s="38">
        <v>399.3</v>
      </c>
      <c r="C41" s="38">
        <v>120</v>
      </c>
      <c r="D41" s="38">
        <v>131</v>
      </c>
      <c r="E41" s="56">
        <f t="shared" si="0"/>
        <v>3.0480916030534351</v>
      </c>
      <c r="F41" s="48">
        <f t="shared" si="1"/>
        <v>0.12700381679389314</v>
      </c>
    </row>
    <row r="42" spans="1:18" x14ac:dyDescent="0.25">
      <c r="A42" s="51">
        <v>45538.999305555553</v>
      </c>
      <c r="B42" s="38">
        <v>399.3</v>
      </c>
      <c r="C42" s="38">
        <v>120</v>
      </c>
      <c r="D42" s="38">
        <v>131</v>
      </c>
      <c r="E42" s="56">
        <f t="shared" si="0"/>
        <v>3.0480916030534351</v>
      </c>
      <c r="F42" s="48">
        <f t="shared" si="1"/>
        <v>0.12700381679389314</v>
      </c>
    </row>
    <row r="43" spans="1:18" x14ac:dyDescent="0.25">
      <c r="A43" s="51">
        <v>45539.999305555553</v>
      </c>
      <c r="B43" s="38">
        <v>399.3</v>
      </c>
      <c r="C43" s="38">
        <v>120</v>
      </c>
      <c r="D43" s="38">
        <v>131</v>
      </c>
      <c r="E43" s="56">
        <f t="shared" si="0"/>
        <v>3.0480916030534351</v>
      </c>
      <c r="F43" s="48">
        <f t="shared" si="1"/>
        <v>0.12700381679389314</v>
      </c>
    </row>
    <row r="44" spans="1:18" x14ac:dyDescent="0.25">
      <c r="A44" s="51">
        <v>45540.999305555553</v>
      </c>
      <c r="B44" s="38">
        <v>354</v>
      </c>
      <c r="C44" s="38">
        <v>120</v>
      </c>
      <c r="D44" s="38">
        <v>131</v>
      </c>
      <c r="E44" s="56">
        <f t="shared" si="0"/>
        <v>2.7022900763358777</v>
      </c>
      <c r="F44" s="48">
        <f t="shared" si="1"/>
        <v>0.11259541984732824</v>
      </c>
    </row>
    <row r="45" spans="1:18" x14ac:dyDescent="0.25">
      <c r="A45" s="51">
        <v>45541.999305555553</v>
      </c>
      <c r="B45" s="38">
        <v>345.9</v>
      </c>
      <c r="C45" s="38">
        <v>120</v>
      </c>
      <c r="D45" s="38">
        <v>131</v>
      </c>
      <c r="E45" s="56">
        <f t="shared" si="0"/>
        <v>2.6404580152671753</v>
      </c>
      <c r="F45" s="48">
        <f t="shared" si="1"/>
        <v>0.11001908396946564</v>
      </c>
    </row>
    <row r="46" spans="1:18" x14ac:dyDescent="0.25">
      <c r="A46" s="51">
        <v>45542.999305555553</v>
      </c>
      <c r="B46" s="38">
        <v>351.6</v>
      </c>
      <c r="C46" s="38">
        <v>120</v>
      </c>
      <c r="D46" s="38">
        <v>131</v>
      </c>
      <c r="E46" s="56">
        <f t="shared" si="0"/>
        <v>2.6839694656488553</v>
      </c>
      <c r="F46" s="48">
        <f t="shared" si="1"/>
        <v>0.1118320610687023</v>
      </c>
    </row>
    <row r="47" spans="1:18" x14ac:dyDescent="0.25">
      <c r="A47" s="51">
        <v>45543.999305555553</v>
      </c>
      <c r="B47" s="38">
        <v>358.9</v>
      </c>
      <c r="C47" s="38">
        <v>120</v>
      </c>
      <c r="D47" s="38">
        <v>131</v>
      </c>
      <c r="E47" s="56">
        <f t="shared" si="0"/>
        <v>2.7396946564885494</v>
      </c>
      <c r="F47" s="48">
        <f t="shared" si="1"/>
        <v>0.11415394402035622</v>
      </c>
      <c r="J47" s="71" t="s">
        <v>58</v>
      </c>
      <c r="K47" s="71"/>
      <c r="L47" s="71"/>
    </row>
    <row r="48" spans="1:18" x14ac:dyDescent="0.25">
      <c r="A48" s="51">
        <v>45544.999305555553</v>
      </c>
      <c r="B48" s="38">
        <v>406.1</v>
      </c>
      <c r="C48" s="38">
        <v>120</v>
      </c>
      <c r="D48" s="38">
        <v>131</v>
      </c>
      <c r="E48" s="56">
        <f t="shared" si="0"/>
        <v>3.1</v>
      </c>
      <c r="F48" s="48">
        <f t="shared" si="1"/>
        <v>0.12916666666666668</v>
      </c>
      <c r="J48" s="58"/>
      <c r="K48" s="58"/>
      <c r="L48" s="58"/>
    </row>
    <row r="49" spans="1:12" x14ac:dyDescent="0.25">
      <c r="A49" s="51">
        <v>45545.999305555553</v>
      </c>
      <c r="B49" s="38">
        <v>423.4</v>
      </c>
      <c r="C49" s="38">
        <v>120</v>
      </c>
      <c r="D49" s="38">
        <v>131</v>
      </c>
      <c r="E49" s="56">
        <f t="shared" si="0"/>
        <v>3.2320610687022899</v>
      </c>
      <c r="F49" s="48">
        <f t="shared" si="1"/>
        <v>0.13466921119592876</v>
      </c>
      <c r="J49" s="58"/>
      <c r="K49" s="58"/>
      <c r="L49" s="58"/>
    </row>
    <row r="50" spans="1:12" x14ac:dyDescent="0.25">
      <c r="A50" s="51">
        <v>45546.999305555553</v>
      </c>
      <c r="B50" s="38">
        <v>428.6</v>
      </c>
      <c r="C50" s="38">
        <v>120</v>
      </c>
      <c r="D50" s="38">
        <v>131</v>
      </c>
      <c r="E50" s="56">
        <f t="shared" si="0"/>
        <v>3.27175572519084</v>
      </c>
      <c r="F50" s="48">
        <f t="shared" si="1"/>
        <v>0.13632315521628499</v>
      </c>
    </row>
    <row r="51" spans="1:12" x14ac:dyDescent="0.25">
      <c r="A51" s="51">
        <v>45547.999305555553</v>
      </c>
      <c r="B51" s="38">
        <v>425.7</v>
      </c>
      <c r="C51" s="38">
        <v>120</v>
      </c>
      <c r="D51" s="38">
        <v>131</v>
      </c>
      <c r="E51" s="56">
        <f t="shared" si="0"/>
        <v>3.2496183206106868</v>
      </c>
      <c r="F51" s="48">
        <f t="shared" si="1"/>
        <v>0.13540076335877863</v>
      </c>
    </row>
    <row r="52" spans="1:12" x14ac:dyDescent="0.25">
      <c r="A52" s="51">
        <v>45548.999305555553</v>
      </c>
      <c r="B52" s="38">
        <v>431.6</v>
      </c>
      <c r="C52" s="38">
        <v>120</v>
      </c>
      <c r="D52" s="38">
        <v>131</v>
      </c>
      <c r="E52" s="56">
        <f t="shared" si="0"/>
        <v>3.2946564885496183</v>
      </c>
      <c r="F52" s="48">
        <f t="shared" si="1"/>
        <v>0.13727735368956745</v>
      </c>
    </row>
    <row r="53" spans="1:12" x14ac:dyDescent="0.25">
      <c r="A53" s="51">
        <v>45549.999305555553</v>
      </c>
      <c r="B53" s="38">
        <v>403.8</v>
      </c>
      <c r="C53" s="38">
        <v>120</v>
      </c>
      <c r="D53" s="38">
        <v>131</v>
      </c>
      <c r="E53" s="56">
        <f t="shared" si="0"/>
        <v>3.0824427480916032</v>
      </c>
      <c r="F53" s="48">
        <f t="shared" si="1"/>
        <v>0.12843511450381681</v>
      </c>
    </row>
    <row r="54" spans="1:12" x14ac:dyDescent="0.25">
      <c r="A54" s="51">
        <v>45550.999305555553</v>
      </c>
      <c r="B54" s="38">
        <v>365.7</v>
      </c>
      <c r="C54" s="38">
        <v>120</v>
      </c>
      <c r="D54" s="38">
        <v>131</v>
      </c>
      <c r="E54" s="56">
        <f t="shared" si="0"/>
        <v>2.7916030534351144</v>
      </c>
      <c r="F54" s="48">
        <f t="shared" si="1"/>
        <v>0.11631679389312977</v>
      </c>
    </row>
    <row r="55" spans="1:12" x14ac:dyDescent="0.25">
      <c r="A55" s="51">
        <v>45551.999305555553</v>
      </c>
      <c r="B55" s="38">
        <v>369.5</v>
      </c>
      <c r="C55" s="38">
        <v>120</v>
      </c>
      <c r="D55" s="38">
        <v>131</v>
      </c>
      <c r="E55" s="56">
        <f t="shared" si="0"/>
        <v>2.8206106870229006</v>
      </c>
      <c r="F55" s="48">
        <f t="shared" si="1"/>
        <v>0.11752544529262086</v>
      </c>
    </row>
    <row r="56" spans="1:12" x14ac:dyDescent="0.25">
      <c r="A56" s="51">
        <v>45552.999305555553</v>
      </c>
      <c r="B56" s="38">
        <v>393.7</v>
      </c>
      <c r="C56" s="38">
        <v>120</v>
      </c>
      <c r="D56" s="38">
        <v>131</v>
      </c>
      <c r="E56" s="56">
        <f t="shared" si="0"/>
        <v>3.0053435114503815</v>
      </c>
      <c r="F56" s="48">
        <f t="shared" si="1"/>
        <v>0.12522264631043256</v>
      </c>
    </row>
    <row r="57" spans="1:12" x14ac:dyDescent="0.25">
      <c r="A57" s="51">
        <v>45553.999305555553</v>
      </c>
      <c r="B57" s="38">
        <v>389.6</v>
      </c>
      <c r="C57" s="38">
        <v>120</v>
      </c>
      <c r="D57" s="38">
        <v>131</v>
      </c>
      <c r="E57" s="56">
        <f t="shared" si="0"/>
        <v>2.9740458015267177</v>
      </c>
      <c r="F57" s="48">
        <f t="shared" si="1"/>
        <v>0.12391857506361324</v>
      </c>
    </row>
    <row r="58" spans="1:12" x14ac:dyDescent="0.25">
      <c r="A58" s="51">
        <v>45554.999305555553</v>
      </c>
      <c r="B58" s="38">
        <v>401.4</v>
      </c>
      <c r="C58" s="38">
        <v>120</v>
      </c>
      <c r="D58" s="38">
        <v>131</v>
      </c>
      <c r="E58" s="56">
        <f t="shared" si="0"/>
        <v>3.0641221374045799</v>
      </c>
      <c r="F58" s="48">
        <f t="shared" si="1"/>
        <v>0.12767175572519082</v>
      </c>
    </row>
    <row r="59" spans="1:12" x14ac:dyDescent="0.25">
      <c r="A59" s="51">
        <v>45555.999305555553</v>
      </c>
      <c r="B59" s="38">
        <v>400</v>
      </c>
      <c r="C59" s="38">
        <v>120</v>
      </c>
      <c r="D59" s="38">
        <v>131</v>
      </c>
      <c r="E59" s="56">
        <f t="shared" si="0"/>
        <v>3.053435114503817</v>
      </c>
      <c r="F59" s="48">
        <f t="shared" si="1"/>
        <v>0.1272264631043257</v>
      </c>
    </row>
    <row r="60" spans="1:12" x14ac:dyDescent="0.25">
      <c r="A60" s="51">
        <v>45556.999305555553</v>
      </c>
      <c r="B60" s="38">
        <v>398</v>
      </c>
      <c r="C60" s="38">
        <v>120</v>
      </c>
      <c r="D60" s="38">
        <v>131</v>
      </c>
      <c r="E60" s="56">
        <f t="shared" si="0"/>
        <v>3.0381679389312977</v>
      </c>
      <c r="F60" s="48">
        <f t="shared" si="1"/>
        <v>0.12659033078880408</v>
      </c>
    </row>
    <row r="61" spans="1:12" x14ac:dyDescent="0.25">
      <c r="A61" s="51">
        <v>45557.999305555553</v>
      </c>
      <c r="B61" s="38">
        <v>377</v>
      </c>
      <c r="C61" s="38">
        <v>120</v>
      </c>
      <c r="D61" s="38">
        <v>131</v>
      </c>
      <c r="E61" s="56">
        <f t="shared" si="0"/>
        <v>2.8778625954198471</v>
      </c>
      <c r="F61" s="48">
        <f t="shared" si="1"/>
        <v>0.11991094147582697</v>
      </c>
    </row>
    <row r="62" spans="1:12" x14ac:dyDescent="0.25">
      <c r="A62" s="51">
        <v>45558.999305555553</v>
      </c>
      <c r="B62" s="38">
        <v>370.7</v>
      </c>
      <c r="C62" s="38">
        <v>120</v>
      </c>
      <c r="D62" s="38">
        <v>131</v>
      </c>
      <c r="E62" s="56">
        <f t="shared" si="0"/>
        <v>2.8297709923664121</v>
      </c>
      <c r="F62" s="48">
        <f t="shared" si="1"/>
        <v>0.11790712468193384</v>
      </c>
    </row>
    <row r="63" spans="1:12" x14ac:dyDescent="0.25">
      <c r="A63" s="51">
        <v>45559.999305555553</v>
      </c>
      <c r="B63" s="38">
        <v>422.4</v>
      </c>
      <c r="C63" s="38">
        <v>120</v>
      </c>
      <c r="D63" s="38">
        <v>131</v>
      </c>
      <c r="E63" s="56">
        <f t="shared" si="0"/>
        <v>3.2244274809160305</v>
      </c>
      <c r="F63" s="48">
        <f t="shared" si="1"/>
        <v>0.13435114503816792</v>
      </c>
    </row>
    <row r="64" spans="1:12" x14ac:dyDescent="0.25">
      <c r="A64" s="51">
        <v>45560.999305555553</v>
      </c>
      <c r="B64" s="38">
        <v>440.7</v>
      </c>
      <c r="C64" s="38">
        <v>120</v>
      </c>
      <c r="D64" s="38">
        <v>131</v>
      </c>
      <c r="E64" s="56">
        <f t="shared" si="0"/>
        <v>3.3641221374045802</v>
      </c>
      <c r="F64" s="48">
        <f t="shared" si="1"/>
        <v>0.14017175572519083</v>
      </c>
    </row>
    <row r="65" spans="1:6" x14ac:dyDescent="0.25">
      <c r="A65" s="51">
        <v>45561.999305555553</v>
      </c>
      <c r="B65" s="38">
        <v>437</v>
      </c>
      <c r="C65" s="38">
        <v>120</v>
      </c>
      <c r="D65" s="38">
        <v>131</v>
      </c>
      <c r="E65" s="56">
        <f t="shared" si="0"/>
        <v>3.33587786259542</v>
      </c>
      <c r="F65" s="48">
        <f t="shared" si="1"/>
        <v>0.13899491094147581</v>
      </c>
    </row>
    <row r="66" spans="1:6" x14ac:dyDescent="0.25">
      <c r="A66" s="51">
        <v>45562.999305555553</v>
      </c>
      <c r="B66" s="38">
        <v>394.9</v>
      </c>
      <c r="C66" s="38">
        <v>120</v>
      </c>
      <c r="D66" s="38">
        <v>131</v>
      </c>
      <c r="E66" s="56">
        <f t="shared" ref="E66:E120" si="3">B66/D66</f>
        <v>3.0145038167938929</v>
      </c>
      <c r="F66" s="48">
        <f t="shared" ref="F66:F120" si="4">B66/(24*D66)</f>
        <v>0.12560432569974553</v>
      </c>
    </row>
    <row r="67" spans="1:6" x14ac:dyDescent="0.25">
      <c r="A67" s="51">
        <v>45563.999305555553</v>
      </c>
      <c r="B67" s="38">
        <v>374.8</v>
      </c>
      <c r="C67" s="38">
        <v>120</v>
      </c>
      <c r="D67" s="38">
        <v>131</v>
      </c>
      <c r="E67" s="56">
        <f t="shared" si="3"/>
        <v>2.8610687022900763</v>
      </c>
      <c r="F67" s="48">
        <f t="shared" si="4"/>
        <v>0.11921119592875318</v>
      </c>
    </row>
    <row r="68" spans="1:6" x14ac:dyDescent="0.25">
      <c r="A68" s="51">
        <v>45564.999305555553</v>
      </c>
      <c r="B68" s="38">
        <v>374.8</v>
      </c>
      <c r="C68" s="38">
        <v>120</v>
      </c>
      <c r="D68" s="38">
        <v>131</v>
      </c>
      <c r="E68" s="56">
        <f t="shared" si="3"/>
        <v>2.8610687022900763</v>
      </c>
      <c r="F68" s="48">
        <f t="shared" si="4"/>
        <v>0.11921119592875318</v>
      </c>
    </row>
    <row r="69" spans="1:6" x14ac:dyDescent="0.25">
      <c r="A69" s="51">
        <v>45565.999305555553</v>
      </c>
      <c r="B69" s="38">
        <v>374.8</v>
      </c>
      <c r="C69" s="38">
        <v>120</v>
      </c>
      <c r="D69" s="38">
        <v>131</v>
      </c>
      <c r="E69" s="56">
        <f t="shared" si="3"/>
        <v>2.8610687022900763</v>
      </c>
      <c r="F69" s="48">
        <f t="shared" si="4"/>
        <v>0.11921119592875318</v>
      </c>
    </row>
    <row r="70" spans="1:6" x14ac:dyDescent="0.25">
      <c r="A70" s="51">
        <v>45566.999305555553</v>
      </c>
      <c r="B70" s="38">
        <v>374.8</v>
      </c>
      <c r="C70" s="38">
        <v>120</v>
      </c>
      <c r="D70" s="38">
        <v>131</v>
      </c>
      <c r="E70" s="56">
        <f t="shared" si="3"/>
        <v>2.8610687022900763</v>
      </c>
      <c r="F70" s="48">
        <f t="shared" si="4"/>
        <v>0.11921119592875318</v>
      </c>
    </row>
    <row r="71" spans="1:6" x14ac:dyDescent="0.25">
      <c r="A71" s="51">
        <v>45567.999305555553</v>
      </c>
      <c r="B71" s="38">
        <v>374.8</v>
      </c>
      <c r="C71" s="38">
        <v>120</v>
      </c>
      <c r="D71" s="38">
        <v>131</v>
      </c>
      <c r="E71" s="56">
        <f t="shared" si="3"/>
        <v>2.8610687022900763</v>
      </c>
      <c r="F71" s="48">
        <f t="shared" si="4"/>
        <v>0.11921119592875318</v>
      </c>
    </row>
    <row r="72" spans="1:6" x14ac:dyDescent="0.25">
      <c r="A72" s="51">
        <v>45568.999305555553</v>
      </c>
      <c r="B72" s="38">
        <v>374.8</v>
      </c>
      <c r="C72" s="38">
        <v>120</v>
      </c>
      <c r="D72" s="38">
        <v>131</v>
      </c>
      <c r="E72" s="56">
        <f t="shared" si="3"/>
        <v>2.8610687022900763</v>
      </c>
      <c r="F72" s="48">
        <f t="shared" si="4"/>
        <v>0.11921119592875318</v>
      </c>
    </row>
    <row r="73" spans="1:6" x14ac:dyDescent="0.25">
      <c r="A73" s="51">
        <v>45569.999305555553</v>
      </c>
      <c r="B73" s="38">
        <v>374.8</v>
      </c>
      <c r="C73" s="38">
        <v>120</v>
      </c>
      <c r="D73" s="38">
        <v>131</v>
      </c>
      <c r="E73" s="56">
        <f t="shared" si="3"/>
        <v>2.8610687022900763</v>
      </c>
      <c r="F73" s="48">
        <f t="shared" si="4"/>
        <v>0.11921119592875318</v>
      </c>
    </row>
    <row r="74" spans="1:6" x14ac:dyDescent="0.25">
      <c r="A74" s="51">
        <v>45570.999305555553</v>
      </c>
      <c r="B74" s="38">
        <v>374.8</v>
      </c>
      <c r="C74" s="38">
        <v>120</v>
      </c>
      <c r="D74" s="38">
        <v>131</v>
      </c>
      <c r="E74" s="56">
        <f t="shared" si="3"/>
        <v>2.8610687022900763</v>
      </c>
      <c r="F74" s="48">
        <f t="shared" si="4"/>
        <v>0.11921119592875318</v>
      </c>
    </row>
    <row r="75" spans="1:6" x14ac:dyDescent="0.25">
      <c r="A75" s="51">
        <v>45571.999305555553</v>
      </c>
      <c r="B75" s="38">
        <v>374.8</v>
      </c>
      <c r="C75" s="38">
        <v>120</v>
      </c>
      <c r="D75" s="38">
        <v>131</v>
      </c>
      <c r="E75" s="56">
        <f t="shared" si="3"/>
        <v>2.8610687022900763</v>
      </c>
      <c r="F75" s="48">
        <f t="shared" si="4"/>
        <v>0.11921119592875318</v>
      </c>
    </row>
    <row r="76" spans="1:6" x14ac:dyDescent="0.25">
      <c r="A76" s="51">
        <v>45572.999305555553</v>
      </c>
      <c r="B76" s="38">
        <v>374.8</v>
      </c>
      <c r="C76" s="38">
        <v>120</v>
      </c>
      <c r="D76" s="38">
        <v>131</v>
      </c>
      <c r="E76" s="56">
        <f t="shared" si="3"/>
        <v>2.8610687022900763</v>
      </c>
      <c r="F76" s="48">
        <f t="shared" si="4"/>
        <v>0.11921119592875318</v>
      </c>
    </row>
    <row r="77" spans="1:6" x14ac:dyDescent="0.25">
      <c r="A77" s="51">
        <v>45573.999305555553</v>
      </c>
      <c r="B77" s="38">
        <v>374.8</v>
      </c>
      <c r="C77" s="38">
        <v>120</v>
      </c>
      <c r="D77" s="38">
        <v>131</v>
      </c>
      <c r="E77" s="56">
        <f t="shared" si="3"/>
        <v>2.8610687022900763</v>
      </c>
      <c r="F77" s="48">
        <f t="shared" si="4"/>
        <v>0.11921119592875318</v>
      </c>
    </row>
    <row r="78" spans="1:6" x14ac:dyDescent="0.25">
      <c r="A78" s="51">
        <v>45574.999305555553</v>
      </c>
      <c r="B78" s="38">
        <v>331.5</v>
      </c>
      <c r="C78" s="38">
        <v>120</v>
      </c>
      <c r="D78" s="38">
        <v>131</v>
      </c>
      <c r="E78" s="56">
        <f t="shared" si="3"/>
        <v>2.5305343511450382</v>
      </c>
      <c r="F78" s="48">
        <f t="shared" si="4"/>
        <v>0.10543893129770993</v>
      </c>
    </row>
    <row r="79" spans="1:6" x14ac:dyDescent="0.25">
      <c r="A79" s="51">
        <v>45575.999305555553</v>
      </c>
      <c r="B79" s="38">
        <v>102.2</v>
      </c>
      <c r="C79" s="38">
        <v>120</v>
      </c>
      <c r="D79" s="38">
        <v>131</v>
      </c>
      <c r="E79" s="56">
        <f t="shared" si="3"/>
        <v>0.78015267175572522</v>
      </c>
      <c r="F79" s="48">
        <f t="shared" si="4"/>
        <v>3.2506361323155215E-2</v>
      </c>
    </row>
    <row r="80" spans="1:6" x14ac:dyDescent="0.25">
      <c r="A80" s="51">
        <v>45576.999305555553</v>
      </c>
      <c r="B80" s="38">
        <v>465</v>
      </c>
      <c r="C80" s="38">
        <v>120</v>
      </c>
      <c r="D80" s="38">
        <v>131</v>
      </c>
      <c r="E80" s="56">
        <f t="shared" si="3"/>
        <v>3.5496183206106871</v>
      </c>
      <c r="F80" s="48">
        <f t="shared" si="4"/>
        <v>0.14790076335877864</v>
      </c>
    </row>
    <row r="81" spans="1:6" x14ac:dyDescent="0.25">
      <c r="A81" s="51">
        <v>45577.999305555553</v>
      </c>
      <c r="B81" s="38">
        <v>276.10000000000002</v>
      </c>
      <c r="C81" s="38">
        <v>120</v>
      </c>
      <c r="D81" s="38">
        <v>131</v>
      </c>
      <c r="E81" s="56">
        <f t="shared" si="3"/>
        <v>2.1076335877862595</v>
      </c>
      <c r="F81" s="48">
        <f t="shared" si="4"/>
        <v>8.7818066157760818E-2</v>
      </c>
    </row>
    <row r="82" spans="1:6" x14ac:dyDescent="0.25">
      <c r="A82" s="51">
        <v>45578.999305555553</v>
      </c>
      <c r="B82" s="38">
        <v>575.9</v>
      </c>
      <c r="C82" s="38">
        <v>120</v>
      </c>
      <c r="D82" s="38">
        <v>131</v>
      </c>
      <c r="E82" s="56">
        <f t="shared" si="3"/>
        <v>4.39618320610687</v>
      </c>
      <c r="F82" s="48">
        <f t="shared" si="4"/>
        <v>0.18317430025445292</v>
      </c>
    </row>
    <row r="83" spans="1:6" x14ac:dyDescent="0.25">
      <c r="A83" s="51">
        <v>45579.999305555553</v>
      </c>
      <c r="B83" s="38">
        <v>555.6</v>
      </c>
      <c r="C83" s="38">
        <v>120</v>
      </c>
      <c r="D83" s="38">
        <v>131</v>
      </c>
      <c r="E83" s="56">
        <f t="shared" si="3"/>
        <v>4.2412213740458018</v>
      </c>
      <c r="F83" s="48">
        <f t="shared" si="4"/>
        <v>0.17671755725190841</v>
      </c>
    </row>
    <row r="84" spans="1:6" x14ac:dyDescent="0.25">
      <c r="A84" s="51">
        <v>45580.999305555553</v>
      </c>
      <c r="B84" s="38">
        <v>490.8</v>
      </c>
      <c r="C84" s="38">
        <v>120</v>
      </c>
      <c r="D84" s="38">
        <v>131</v>
      </c>
      <c r="E84" s="56">
        <f t="shared" si="3"/>
        <v>3.7465648854961833</v>
      </c>
      <c r="F84" s="48">
        <f t="shared" si="4"/>
        <v>0.15610687022900763</v>
      </c>
    </row>
    <row r="85" spans="1:6" x14ac:dyDescent="0.25">
      <c r="A85" s="51">
        <v>45581.999305555553</v>
      </c>
      <c r="B85" s="38">
        <v>454.7</v>
      </c>
      <c r="C85" s="38">
        <v>120</v>
      </c>
      <c r="D85" s="38">
        <v>131</v>
      </c>
      <c r="E85" s="56">
        <f t="shared" si="3"/>
        <v>3.4709923664122138</v>
      </c>
      <c r="F85" s="48">
        <f t="shared" si="4"/>
        <v>0.14462468193384223</v>
      </c>
    </row>
    <row r="86" spans="1:6" x14ac:dyDescent="0.25">
      <c r="A86" s="51">
        <v>45582.999305555553</v>
      </c>
      <c r="B86" s="38">
        <v>577.9</v>
      </c>
      <c r="C86" s="38">
        <v>120</v>
      </c>
      <c r="D86" s="38">
        <v>131</v>
      </c>
      <c r="E86" s="56">
        <f t="shared" si="3"/>
        <v>4.4114503816793889</v>
      </c>
      <c r="F86" s="48">
        <f t="shared" si="4"/>
        <v>0.18381043256997454</v>
      </c>
    </row>
    <row r="87" spans="1:6" x14ac:dyDescent="0.25">
      <c r="A87" s="51">
        <v>45583.999305555553</v>
      </c>
      <c r="B87" s="38">
        <v>507.5</v>
      </c>
      <c r="C87" s="38">
        <v>120</v>
      </c>
      <c r="D87" s="38">
        <v>131</v>
      </c>
      <c r="E87" s="56">
        <f t="shared" si="3"/>
        <v>3.8740458015267176</v>
      </c>
      <c r="F87" s="48">
        <f t="shared" si="4"/>
        <v>0.16141857506361323</v>
      </c>
    </row>
    <row r="88" spans="1:6" x14ac:dyDescent="0.25">
      <c r="A88" s="51">
        <v>45584.999305555553</v>
      </c>
      <c r="B88" s="38">
        <v>265.60000000000002</v>
      </c>
      <c r="C88" s="38">
        <v>120</v>
      </c>
      <c r="D88" s="38">
        <v>131</v>
      </c>
      <c r="E88" s="56">
        <f t="shared" si="3"/>
        <v>2.0274809160305347</v>
      </c>
      <c r="F88" s="48">
        <f t="shared" si="4"/>
        <v>8.447837150127227E-2</v>
      </c>
    </row>
    <row r="89" spans="1:6" x14ac:dyDescent="0.25">
      <c r="A89" s="51">
        <v>45585.999305555553</v>
      </c>
      <c r="B89" s="38">
        <v>162.9</v>
      </c>
      <c r="C89" s="38">
        <v>120</v>
      </c>
      <c r="D89" s="38">
        <v>131</v>
      </c>
      <c r="E89" s="56">
        <f t="shared" si="3"/>
        <v>1.2435114503816795</v>
      </c>
      <c r="F89" s="48">
        <f t="shared" si="4"/>
        <v>5.1812977099236643E-2</v>
      </c>
    </row>
    <row r="90" spans="1:6" x14ac:dyDescent="0.25">
      <c r="A90" s="51">
        <v>45586.999305555553</v>
      </c>
      <c r="B90" s="38">
        <v>244.1</v>
      </c>
      <c r="C90" s="38">
        <v>120</v>
      </c>
      <c r="D90" s="38">
        <v>131</v>
      </c>
      <c r="E90" s="56">
        <f t="shared" si="3"/>
        <v>1.8633587786259542</v>
      </c>
      <c r="F90" s="48">
        <f t="shared" si="4"/>
        <v>7.7639949109414755E-2</v>
      </c>
    </row>
    <row r="91" spans="1:6" x14ac:dyDescent="0.25">
      <c r="A91" s="51">
        <v>45587.999305555553</v>
      </c>
      <c r="B91" s="38">
        <v>383.8</v>
      </c>
      <c r="C91" s="38">
        <v>120</v>
      </c>
      <c r="D91" s="38">
        <v>131</v>
      </c>
      <c r="E91" s="56">
        <f t="shared" si="3"/>
        <v>2.9297709923664121</v>
      </c>
      <c r="F91" s="48">
        <f t="shared" si="4"/>
        <v>0.12207379134860051</v>
      </c>
    </row>
    <row r="92" spans="1:6" x14ac:dyDescent="0.25">
      <c r="A92" s="51">
        <v>45588.999305555553</v>
      </c>
      <c r="B92" s="38">
        <v>511.8</v>
      </c>
      <c r="C92" s="38">
        <v>120</v>
      </c>
      <c r="D92" s="38">
        <v>131</v>
      </c>
      <c r="E92" s="56">
        <f t="shared" si="3"/>
        <v>3.9068702290076338</v>
      </c>
      <c r="F92" s="48">
        <f t="shared" si="4"/>
        <v>0.16278625954198472</v>
      </c>
    </row>
    <row r="93" spans="1:6" x14ac:dyDescent="0.25">
      <c r="A93" s="51">
        <v>45589.999305555553</v>
      </c>
      <c r="B93" s="38">
        <v>337.1</v>
      </c>
      <c r="C93" s="38">
        <v>120</v>
      </c>
      <c r="D93" s="38">
        <v>131</v>
      </c>
      <c r="E93" s="56">
        <f t="shared" si="3"/>
        <v>2.5732824427480918</v>
      </c>
      <c r="F93" s="48">
        <f t="shared" si="4"/>
        <v>0.10722010178117049</v>
      </c>
    </row>
    <row r="94" spans="1:6" x14ac:dyDescent="0.25">
      <c r="A94" s="51">
        <v>45590.999305555553</v>
      </c>
      <c r="B94" s="38">
        <v>343.7</v>
      </c>
      <c r="C94" s="38">
        <v>120</v>
      </c>
      <c r="D94" s="38">
        <v>131</v>
      </c>
      <c r="E94" s="56">
        <f t="shared" si="3"/>
        <v>2.6236641221374044</v>
      </c>
      <c r="F94" s="48">
        <f t="shared" si="4"/>
        <v>0.10931933842239186</v>
      </c>
    </row>
    <row r="95" spans="1:6" x14ac:dyDescent="0.25">
      <c r="A95" s="51">
        <v>45591.999305555553</v>
      </c>
      <c r="B95" s="38">
        <v>535.70000000000005</v>
      </c>
      <c r="C95" s="38">
        <v>120</v>
      </c>
      <c r="D95" s="38">
        <v>131</v>
      </c>
      <c r="E95" s="56">
        <f t="shared" si="3"/>
        <v>4.0893129770992367</v>
      </c>
      <c r="F95" s="48">
        <f t="shared" si="4"/>
        <v>0.17038804071246821</v>
      </c>
    </row>
    <row r="96" spans="1:6" x14ac:dyDescent="0.25">
      <c r="A96" s="51">
        <v>45592.999305555553</v>
      </c>
      <c r="B96" s="38">
        <v>392.5</v>
      </c>
      <c r="C96" s="38">
        <v>120</v>
      </c>
      <c r="D96" s="38">
        <v>131</v>
      </c>
      <c r="E96" s="56">
        <f t="shared" si="3"/>
        <v>2.9961832061068701</v>
      </c>
      <c r="F96" s="48">
        <f t="shared" si="4"/>
        <v>0.12484096692111959</v>
      </c>
    </row>
    <row r="97" spans="1:6" x14ac:dyDescent="0.25">
      <c r="A97" s="51">
        <v>45593.999305555553</v>
      </c>
      <c r="B97" s="38">
        <v>234.9</v>
      </c>
      <c r="C97" s="38">
        <v>120</v>
      </c>
      <c r="D97" s="38">
        <v>131</v>
      </c>
      <c r="E97" s="56">
        <f t="shared" si="3"/>
        <v>1.7931297709923664</v>
      </c>
      <c r="F97" s="48">
        <f t="shared" si="4"/>
        <v>7.4713740458015265E-2</v>
      </c>
    </row>
    <row r="98" spans="1:6" x14ac:dyDescent="0.25">
      <c r="A98" s="51">
        <v>45594.999305555553</v>
      </c>
      <c r="B98" s="38">
        <v>292.89999999999998</v>
      </c>
      <c r="C98" s="38">
        <v>120</v>
      </c>
      <c r="D98" s="38">
        <v>131</v>
      </c>
      <c r="E98" s="56">
        <f t="shared" si="3"/>
        <v>2.2358778625954199</v>
      </c>
      <c r="F98" s="48">
        <f t="shared" si="4"/>
        <v>9.316157760814249E-2</v>
      </c>
    </row>
    <row r="99" spans="1:6" x14ac:dyDescent="0.25">
      <c r="A99" s="51">
        <v>45595.999305555553</v>
      </c>
      <c r="B99" s="38">
        <v>580.9</v>
      </c>
      <c r="C99" s="38">
        <v>120</v>
      </c>
      <c r="D99" s="38">
        <v>131</v>
      </c>
      <c r="E99" s="56">
        <f t="shared" si="3"/>
        <v>4.4343511450381676</v>
      </c>
      <c r="F99" s="48">
        <f t="shared" si="4"/>
        <v>0.18476463104325699</v>
      </c>
    </row>
    <row r="100" spans="1:6" x14ac:dyDescent="0.25">
      <c r="A100" s="51">
        <v>45596.999305555553</v>
      </c>
      <c r="B100" s="38">
        <v>608.4</v>
      </c>
      <c r="C100" s="38">
        <v>120</v>
      </c>
      <c r="D100" s="38">
        <v>131</v>
      </c>
      <c r="E100" s="56">
        <f t="shared" si="3"/>
        <v>4.6442748091603052</v>
      </c>
      <c r="F100" s="48">
        <f t="shared" si="4"/>
        <v>0.19351145038167938</v>
      </c>
    </row>
    <row r="101" spans="1:6" x14ac:dyDescent="0.25">
      <c r="A101" s="51">
        <v>45597.999305555553</v>
      </c>
      <c r="B101" s="38">
        <v>518.9</v>
      </c>
      <c r="C101" s="38">
        <v>120</v>
      </c>
      <c r="D101" s="38">
        <v>131</v>
      </c>
      <c r="E101" s="56">
        <f t="shared" si="3"/>
        <v>3.9610687022900763</v>
      </c>
      <c r="F101" s="48">
        <f t="shared" si="4"/>
        <v>0.16504452926208651</v>
      </c>
    </row>
    <row r="102" spans="1:6" x14ac:dyDescent="0.25">
      <c r="A102" s="51">
        <v>45598.999305555553</v>
      </c>
      <c r="B102" s="38">
        <v>479.5</v>
      </c>
      <c r="C102" s="38">
        <v>120</v>
      </c>
      <c r="D102" s="38">
        <v>131</v>
      </c>
      <c r="E102" s="56">
        <f t="shared" si="3"/>
        <v>3.6603053435114505</v>
      </c>
      <c r="F102" s="48">
        <f t="shared" si="4"/>
        <v>0.15251272264631044</v>
      </c>
    </row>
    <row r="103" spans="1:6" x14ac:dyDescent="0.25">
      <c r="A103" s="51">
        <v>45599.999305555553</v>
      </c>
      <c r="B103" s="38">
        <v>375.4</v>
      </c>
      <c r="C103" s="38">
        <v>120</v>
      </c>
      <c r="D103" s="38">
        <v>131</v>
      </c>
      <c r="E103" s="56">
        <f t="shared" si="3"/>
        <v>2.8656488549618317</v>
      </c>
      <c r="F103" s="48">
        <f t="shared" si="4"/>
        <v>0.11940203562340966</v>
      </c>
    </row>
    <row r="104" spans="1:6" x14ac:dyDescent="0.25">
      <c r="A104" s="51">
        <v>45600.999305555553</v>
      </c>
      <c r="B104" s="38">
        <v>321.3</v>
      </c>
      <c r="C104" s="38">
        <v>120</v>
      </c>
      <c r="D104" s="38">
        <v>131</v>
      </c>
      <c r="E104" s="56">
        <f t="shared" si="3"/>
        <v>2.4526717557251909</v>
      </c>
      <c r="F104" s="48">
        <f t="shared" si="4"/>
        <v>0.10219465648854963</v>
      </c>
    </row>
    <row r="105" spans="1:6" x14ac:dyDescent="0.25">
      <c r="A105" s="51">
        <v>45601.999305555553</v>
      </c>
      <c r="B105" s="38">
        <v>323.8</v>
      </c>
      <c r="C105" s="38">
        <v>120</v>
      </c>
      <c r="D105" s="38">
        <v>131</v>
      </c>
      <c r="E105" s="56">
        <f t="shared" si="3"/>
        <v>2.4717557251908397</v>
      </c>
      <c r="F105" s="48">
        <f t="shared" si="4"/>
        <v>0.10298982188295165</v>
      </c>
    </row>
    <row r="106" spans="1:6" x14ac:dyDescent="0.25">
      <c r="A106" s="51">
        <v>45602.999305555553</v>
      </c>
      <c r="B106" s="38">
        <v>366.1</v>
      </c>
      <c r="C106" s="38">
        <v>120</v>
      </c>
      <c r="D106" s="38">
        <v>131</v>
      </c>
      <c r="E106" s="56">
        <f t="shared" si="3"/>
        <v>2.7946564885496183</v>
      </c>
      <c r="F106" s="48">
        <f t="shared" si="4"/>
        <v>0.11644402035623411</v>
      </c>
    </row>
    <row r="107" spans="1:6" x14ac:dyDescent="0.25">
      <c r="A107" s="51">
        <v>45603.999305555553</v>
      </c>
      <c r="B107" s="38">
        <v>452.4</v>
      </c>
      <c r="C107" s="38">
        <v>120</v>
      </c>
      <c r="D107" s="38">
        <v>131</v>
      </c>
      <c r="E107" s="56">
        <f t="shared" si="3"/>
        <v>3.4534351145038165</v>
      </c>
      <c r="F107" s="48">
        <f t="shared" si="4"/>
        <v>0.14389312977099236</v>
      </c>
    </row>
    <row r="108" spans="1:6" x14ac:dyDescent="0.25">
      <c r="A108" s="51">
        <v>45604.999305555553</v>
      </c>
      <c r="B108" s="38">
        <v>254.9</v>
      </c>
      <c r="C108" s="38">
        <v>120</v>
      </c>
      <c r="D108" s="38">
        <v>131</v>
      </c>
      <c r="E108" s="56">
        <f t="shared" si="3"/>
        <v>1.9458015267175572</v>
      </c>
      <c r="F108" s="48">
        <f t="shared" si="4"/>
        <v>8.1075063613231552E-2</v>
      </c>
    </row>
    <row r="109" spans="1:6" x14ac:dyDescent="0.25">
      <c r="A109" s="51">
        <v>45605.999305555553</v>
      </c>
      <c r="B109" s="38">
        <v>137.80000000000001</v>
      </c>
      <c r="C109" s="38">
        <v>120</v>
      </c>
      <c r="D109" s="38">
        <v>131</v>
      </c>
      <c r="E109" s="56">
        <f t="shared" si="3"/>
        <v>1.051908396946565</v>
      </c>
      <c r="F109" s="48">
        <f t="shared" si="4"/>
        <v>4.3829516539440207E-2</v>
      </c>
    </row>
    <row r="110" spans="1:6" x14ac:dyDescent="0.25">
      <c r="A110" s="51">
        <v>45606.999305555553</v>
      </c>
      <c r="B110" s="38">
        <v>571.29999999999995</v>
      </c>
      <c r="C110" s="38">
        <v>120</v>
      </c>
      <c r="D110" s="38">
        <v>131</v>
      </c>
      <c r="E110" s="56">
        <f t="shared" si="3"/>
        <v>4.3610687022900763</v>
      </c>
      <c r="F110" s="48">
        <f t="shared" si="4"/>
        <v>0.18171119592875318</v>
      </c>
    </row>
    <row r="111" spans="1:6" x14ac:dyDescent="0.25">
      <c r="A111" s="51">
        <v>45607.999305555553</v>
      </c>
      <c r="B111" s="38">
        <v>558.20000000000005</v>
      </c>
      <c r="C111" s="38">
        <v>120</v>
      </c>
      <c r="D111" s="38">
        <v>131</v>
      </c>
      <c r="E111" s="56">
        <f t="shared" si="3"/>
        <v>4.2610687022900766</v>
      </c>
      <c r="F111" s="48">
        <f t="shared" si="4"/>
        <v>0.17754452926208653</v>
      </c>
    </row>
    <row r="112" spans="1:6" x14ac:dyDescent="0.25">
      <c r="A112" s="51">
        <v>45608.999305555553</v>
      </c>
      <c r="B112" s="38">
        <v>485.8</v>
      </c>
      <c r="C112" s="38">
        <v>120</v>
      </c>
      <c r="D112" s="38">
        <v>131</v>
      </c>
      <c r="E112" s="56">
        <f t="shared" si="3"/>
        <v>3.7083969465648856</v>
      </c>
      <c r="F112" s="48">
        <f t="shared" si="4"/>
        <v>0.15451653944020358</v>
      </c>
    </row>
    <row r="113" spans="1:6" x14ac:dyDescent="0.25">
      <c r="A113" s="51">
        <v>45609.999305555553</v>
      </c>
      <c r="B113" s="38">
        <v>159.4</v>
      </c>
      <c r="C113" s="38">
        <v>120</v>
      </c>
      <c r="D113" s="38">
        <v>131</v>
      </c>
      <c r="E113" s="56">
        <f t="shared" si="3"/>
        <v>1.216793893129771</v>
      </c>
      <c r="F113" s="48">
        <f t="shared" si="4"/>
        <v>5.0699745547073793E-2</v>
      </c>
    </row>
    <row r="114" spans="1:6" x14ac:dyDescent="0.25">
      <c r="A114" s="51">
        <v>45610.999305555553</v>
      </c>
      <c r="B114" s="38">
        <v>356.8</v>
      </c>
      <c r="C114" s="38">
        <v>120</v>
      </c>
      <c r="D114" s="38">
        <v>131</v>
      </c>
      <c r="E114" s="56">
        <f t="shared" si="3"/>
        <v>2.7236641221374045</v>
      </c>
      <c r="F114" s="48">
        <f t="shared" si="4"/>
        <v>0.11348600508905853</v>
      </c>
    </row>
    <row r="115" spans="1:6" x14ac:dyDescent="0.25">
      <c r="A115" s="51">
        <v>45611.999305555553</v>
      </c>
      <c r="B115" s="38">
        <v>246.3</v>
      </c>
      <c r="C115" s="38">
        <v>120</v>
      </c>
      <c r="D115" s="38">
        <v>131</v>
      </c>
      <c r="E115" s="56">
        <f t="shared" si="3"/>
        <v>1.8801526717557253</v>
      </c>
      <c r="F115" s="48">
        <f t="shared" si="4"/>
        <v>7.8339694656488559E-2</v>
      </c>
    </row>
    <row r="116" spans="1:6" x14ac:dyDescent="0.25">
      <c r="A116" s="51">
        <v>45612.999305555553</v>
      </c>
      <c r="B116" s="38">
        <v>216</v>
      </c>
      <c r="C116" s="38">
        <v>120</v>
      </c>
      <c r="D116" s="38">
        <v>131</v>
      </c>
      <c r="E116" s="56">
        <f t="shared" si="3"/>
        <v>1.6488549618320612</v>
      </c>
      <c r="F116" s="48">
        <f t="shared" si="4"/>
        <v>6.8702290076335881E-2</v>
      </c>
    </row>
    <row r="117" spans="1:6" x14ac:dyDescent="0.25">
      <c r="A117" s="51">
        <v>45613.999305555553</v>
      </c>
      <c r="B117" s="38">
        <v>375.3</v>
      </c>
      <c r="C117" s="38">
        <v>120</v>
      </c>
      <c r="D117" s="38">
        <v>131</v>
      </c>
      <c r="E117" s="56">
        <f t="shared" si="3"/>
        <v>2.8648854961832062</v>
      </c>
      <c r="F117" s="48">
        <f t="shared" si="4"/>
        <v>0.1193702290076336</v>
      </c>
    </row>
    <row r="118" spans="1:6" x14ac:dyDescent="0.25">
      <c r="A118" s="51">
        <v>45614.999305555553</v>
      </c>
      <c r="B118" s="38">
        <v>622.70000000000005</v>
      </c>
      <c r="C118" s="38">
        <v>120</v>
      </c>
      <c r="D118" s="38">
        <v>131</v>
      </c>
      <c r="E118" s="56">
        <f t="shared" si="3"/>
        <v>4.7534351145038167</v>
      </c>
      <c r="F118" s="48">
        <f t="shared" si="4"/>
        <v>0.19805979643765906</v>
      </c>
    </row>
    <row r="119" spans="1:6" x14ac:dyDescent="0.25">
      <c r="A119" s="51">
        <v>45615.999305555553</v>
      </c>
      <c r="B119" s="38">
        <v>508.4</v>
      </c>
      <c r="C119" s="38">
        <v>120</v>
      </c>
      <c r="D119" s="38">
        <v>131</v>
      </c>
      <c r="E119" s="56">
        <f t="shared" si="3"/>
        <v>3.8809160305343511</v>
      </c>
      <c r="F119" s="48">
        <f t="shared" si="4"/>
        <v>0.16170483460559795</v>
      </c>
    </row>
    <row r="120" spans="1:6" x14ac:dyDescent="0.25">
      <c r="A120" s="51">
        <v>45616.999305555553</v>
      </c>
      <c r="B120" s="38">
        <v>599.20000000000005</v>
      </c>
      <c r="C120" s="38">
        <v>120</v>
      </c>
      <c r="D120" s="38">
        <v>131</v>
      </c>
      <c r="E120" s="56">
        <f t="shared" si="3"/>
        <v>4.5740458015267178</v>
      </c>
      <c r="F120" s="48">
        <f t="shared" si="4"/>
        <v>0.19058524173027991</v>
      </c>
    </row>
    <row r="121" spans="1:6" x14ac:dyDescent="0.25">
      <c r="A121" s="51">
        <v>45617.999305555553</v>
      </c>
      <c r="B121" s="38">
        <v>254</v>
      </c>
      <c r="C121" s="38">
        <v>120</v>
      </c>
      <c r="D121" s="38">
        <v>131</v>
      </c>
      <c r="E121" s="56">
        <f>B121/D121</f>
        <v>1.9389312977099236</v>
      </c>
      <c r="F121" s="48">
        <f>B121/(24*D121)</f>
        <v>8.078880407124682E-2</v>
      </c>
    </row>
    <row r="122" spans="1:6" x14ac:dyDescent="0.25">
      <c r="A122" s="51">
        <v>45618.999305555553</v>
      </c>
      <c r="B122" s="38">
        <v>299.89999999999998</v>
      </c>
      <c r="C122" s="38">
        <v>120</v>
      </c>
      <c r="D122" s="38">
        <v>131</v>
      </c>
      <c r="E122" s="56">
        <f t="shared" ref="E122:E185" si="5">B122/D122</f>
        <v>2.2893129770992364</v>
      </c>
      <c r="F122" s="48">
        <f t="shared" ref="F122:F130" si="6">B122/(24*D122)</f>
        <v>9.5388040712468189E-2</v>
      </c>
    </row>
    <row r="123" spans="1:6" x14ac:dyDescent="0.25">
      <c r="A123" s="51">
        <v>45619.999305555553</v>
      </c>
      <c r="B123" s="38">
        <v>329.7</v>
      </c>
      <c r="C123" s="38">
        <v>120</v>
      </c>
      <c r="D123" s="38">
        <v>131</v>
      </c>
      <c r="E123" s="56">
        <f t="shared" si="5"/>
        <v>2.5167938931297709</v>
      </c>
      <c r="F123" s="48">
        <f t="shared" si="6"/>
        <v>0.10486641221374045</v>
      </c>
    </row>
    <row r="124" spans="1:6" x14ac:dyDescent="0.25">
      <c r="A124" s="51">
        <v>45620.999305555553</v>
      </c>
      <c r="B124" s="38">
        <v>664.2</v>
      </c>
      <c r="C124" s="38">
        <v>120</v>
      </c>
      <c r="D124" s="38">
        <v>131</v>
      </c>
      <c r="E124" s="56">
        <f t="shared" si="5"/>
        <v>5.0702290076335883</v>
      </c>
      <c r="F124" s="48">
        <f t="shared" si="6"/>
        <v>0.21125954198473285</v>
      </c>
    </row>
    <row r="125" spans="1:6" x14ac:dyDescent="0.25">
      <c r="A125" s="51">
        <v>45621.999305555553</v>
      </c>
      <c r="B125" s="38">
        <v>520.5</v>
      </c>
      <c r="C125" s="38">
        <v>120</v>
      </c>
      <c r="D125" s="38">
        <v>131</v>
      </c>
      <c r="E125" s="56">
        <f t="shared" si="5"/>
        <v>3.9732824427480917</v>
      </c>
      <c r="F125" s="48">
        <f t="shared" si="6"/>
        <v>0.16555343511450382</v>
      </c>
    </row>
    <row r="126" spans="1:6" x14ac:dyDescent="0.25">
      <c r="A126" s="51">
        <v>45622.999305555553</v>
      </c>
      <c r="B126" s="38">
        <v>643.70000000000005</v>
      </c>
      <c r="C126" s="38">
        <v>120</v>
      </c>
      <c r="D126" s="38">
        <v>131</v>
      </c>
      <c r="E126" s="56">
        <f t="shared" si="5"/>
        <v>4.9137404580152673</v>
      </c>
      <c r="F126" s="48">
        <f t="shared" si="6"/>
        <v>0.20473918575063615</v>
      </c>
    </row>
    <row r="127" spans="1:6" x14ac:dyDescent="0.25">
      <c r="A127" s="51">
        <v>45623.999305555553</v>
      </c>
      <c r="B127" s="38">
        <v>658.5</v>
      </c>
      <c r="C127" s="38">
        <v>120</v>
      </c>
      <c r="D127" s="38">
        <v>131</v>
      </c>
      <c r="E127" s="56">
        <f t="shared" si="5"/>
        <v>5.0267175572519083</v>
      </c>
      <c r="F127" s="48">
        <f t="shared" si="6"/>
        <v>0.20944656488549618</v>
      </c>
    </row>
    <row r="128" spans="1:6" x14ac:dyDescent="0.25">
      <c r="A128" s="51">
        <v>45624.999305555553</v>
      </c>
      <c r="B128" s="38">
        <v>631.29999999999995</v>
      </c>
      <c r="C128" s="38">
        <v>120</v>
      </c>
      <c r="D128" s="38">
        <v>131</v>
      </c>
      <c r="E128" s="56">
        <f t="shared" si="5"/>
        <v>4.8190839694656482</v>
      </c>
      <c r="F128" s="48">
        <f t="shared" si="6"/>
        <v>0.20079516539440201</v>
      </c>
    </row>
    <row r="129" spans="1:6" x14ac:dyDescent="0.25">
      <c r="A129" s="51">
        <v>45625.999305555553</v>
      </c>
      <c r="B129" s="38">
        <v>509.2</v>
      </c>
      <c r="C129" s="38">
        <v>120</v>
      </c>
      <c r="D129" s="38">
        <v>131</v>
      </c>
      <c r="E129" s="56">
        <f t="shared" si="5"/>
        <v>3.8870229007633585</v>
      </c>
      <c r="F129" s="48">
        <f t="shared" si="6"/>
        <v>0.16195928753180661</v>
      </c>
    </row>
    <row r="130" spans="1:6" x14ac:dyDescent="0.25">
      <c r="A130" s="51">
        <v>45626.999305555553</v>
      </c>
      <c r="B130" s="38">
        <v>530.9</v>
      </c>
      <c r="C130" s="38">
        <v>120</v>
      </c>
      <c r="D130" s="38">
        <v>131</v>
      </c>
      <c r="E130" s="56">
        <f t="shared" si="5"/>
        <v>4.052671755725191</v>
      </c>
      <c r="F130" s="48">
        <f t="shared" si="6"/>
        <v>0.16886132315521626</v>
      </c>
    </row>
    <row r="131" spans="1:6" x14ac:dyDescent="0.25">
      <c r="A131" s="51">
        <v>45627.999305555553</v>
      </c>
      <c r="B131" s="38">
        <v>464.2</v>
      </c>
      <c r="C131" s="38">
        <v>120</v>
      </c>
      <c r="D131" s="38">
        <v>131</v>
      </c>
      <c r="E131" s="56">
        <f t="shared" si="5"/>
        <v>3.5435114503816791</v>
      </c>
      <c r="F131" s="48">
        <f>B131/(24*D131)</f>
        <v>0.14764631043256998</v>
      </c>
    </row>
    <row r="132" spans="1:6" x14ac:dyDescent="0.25">
      <c r="A132" s="51">
        <v>45628.999305555553</v>
      </c>
      <c r="B132" s="38">
        <v>259.7</v>
      </c>
      <c r="C132" s="38">
        <v>120</v>
      </c>
      <c r="D132" s="38">
        <v>131</v>
      </c>
      <c r="E132" s="56">
        <f t="shared" si="5"/>
        <v>1.9824427480916029</v>
      </c>
      <c r="F132" s="48">
        <f t="shared" ref="F132:F195" si="7">B132/(24*D132)</f>
        <v>8.260178117048346E-2</v>
      </c>
    </row>
    <row r="133" spans="1:6" x14ac:dyDescent="0.25">
      <c r="A133" s="51">
        <v>45629.999305555553</v>
      </c>
      <c r="B133" s="38">
        <v>420.7</v>
      </c>
      <c r="C133" s="38">
        <v>120</v>
      </c>
      <c r="D133" s="38">
        <v>131</v>
      </c>
      <c r="E133" s="56">
        <f t="shared" si="5"/>
        <v>3.2114503816793891</v>
      </c>
      <c r="F133" s="48">
        <f t="shared" si="7"/>
        <v>0.13381043256997455</v>
      </c>
    </row>
    <row r="134" spans="1:6" x14ac:dyDescent="0.25">
      <c r="A134" s="51">
        <v>45630.999305555553</v>
      </c>
      <c r="B134" s="38">
        <v>363.7</v>
      </c>
      <c r="C134" s="38">
        <v>120</v>
      </c>
      <c r="D134" s="38">
        <v>131</v>
      </c>
      <c r="E134" s="56">
        <f t="shared" si="5"/>
        <v>2.7763358778625955</v>
      </c>
      <c r="F134" s="48">
        <f t="shared" si="7"/>
        <v>0.11568066157760813</v>
      </c>
    </row>
    <row r="135" spans="1:6" x14ac:dyDescent="0.25">
      <c r="A135" s="51">
        <v>45631.999305555553</v>
      </c>
      <c r="B135" s="38">
        <v>572.29999999999995</v>
      </c>
      <c r="C135" s="38">
        <v>120</v>
      </c>
      <c r="D135" s="38">
        <v>131</v>
      </c>
      <c r="E135" s="56">
        <f t="shared" si="5"/>
        <v>4.3687022900763353</v>
      </c>
      <c r="F135" s="48">
        <f t="shared" si="7"/>
        <v>0.18202926208651399</v>
      </c>
    </row>
    <row r="136" spans="1:6" x14ac:dyDescent="0.25">
      <c r="A136" s="51">
        <v>45632.999305555553</v>
      </c>
      <c r="B136" s="38">
        <v>721.4</v>
      </c>
      <c r="C136" s="38">
        <v>120</v>
      </c>
      <c r="D136" s="38">
        <v>131</v>
      </c>
      <c r="E136" s="56">
        <f t="shared" si="5"/>
        <v>5.5068702290076335</v>
      </c>
      <c r="F136" s="48">
        <f t="shared" si="7"/>
        <v>0.2294529262086514</v>
      </c>
    </row>
    <row r="137" spans="1:6" x14ac:dyDescent="0.25">
      <c r="A137" s="51">
        <v>45633.999305555553</v>
      </c>
      <c r="B137" s="38">
        <v>699.4</v>
      </c>
      <c r="C137" s="38">
        <v>120</v>
      </c>
      <c r="D137" s="38">
        <v>131</v>
      </c>
      <c r="E137" s="56">
        <f t="shared" si="5"/>
        <v>5.3389312977099239</v>
      </c>
      <c r="F137" s="48">
        <f t="shared" si="7"/>
        <v>0.22245547073791347</v>
      </c>
    </row>
    <row r="138" spans="1:6" x14ac:dyDescent="0.25">
      <c r="A138" s="51">
        <v>45634.999305555553</v>
      </c>
      <c r="B138" s="38">
        <v>650.79999999999995</v>
      </c>
      <c r="C138" s="38">
        <v>120</v>
      </c>
      <c r="D138" s="38">
        <v>131</v>
      </c>
      <c r="E138" s="56">
        <f t="shared" si="5"/>
        <v>4.9679389312977094</v>
      </c>
      <c r="F138" s="48">
        <f t="shared" si="7"/>
        <v>0.20699745547073789</v>
      </c>
    </row>
    <row r="139" spans="1:6" x14ac:dyDescent="0.25">
      <c r="A139" s="51">
        <v>45635.999305555553</v>
      </c>
      <c r="B139" s="38">
        <v>674</v>
      </c>
      <c r="C139" s="38">
        <v>120</v>
      </c>
      <c r="D139" s="38">
        <v>131</v>
      </c>
      <c r="E139" s="56">
        <f t="shared" si="5"/>
        <v>5.1450381679389317</v>
      </c>
      <c r="F139" s="48">
        <f t="shared" si="7"/>
        <v>0.21437659033078879</v>
      </c>
    </row>
    <row r="140" spans="1:6" x14ac:dyDescent="0.25">
      <c r="A140" s="51">
        <v>45636.999305555553</v>
      </c>
      <c r="B140" s="38">
        <v>434.3</v>
      </c>
      <c r="C140" s="38">
        <v>120</v>
      </c>
      <c r="D140" s="38">
        <v>131</v>
      </c>
      <c r="E140" s="56">
        <f t="shared" si="5"/>
        <v>3.3152671755725192</v>
      </c>
      <c r="F140" s="48">
        <f t="shared" si="7"/>
        <v>0.13813613231552163</v>
      </c>
    </row>
    <row r="141" spans="1:6" x14ac:dyDescent="0.25">
      <c r="A141" s="51">
        <v>45637.999305555553</v>
      </c>
      <c r="B141" s="38">
        <v>294.8</v>
      </c>
      <c r="C141" s="38">
        <v>120</v>
      </c>
      <c r="D141" s="38">
        <v>131</v>
      </c>
      <c r="E141" s="56">
        <f t="shared" si="5"/>
        <v>2.2503816793893132</v>
      </c>
      <c r="F141" s="48">
        <f t="shared" si="7"/>
        <v>9.3765903307888046E-2</v>
      </c>
    </row>
    <row r="142" spans="1:6" x14ac:dyDescent="0.25">
      <c r="A142" s="51">
        <v>45638.999305555553</v>
      </c>
      <c r="B142" s="38">
        <v>353.6</v>
      </c>
      <c r="C142" s="38">
        <v>120</v>
      </c>
      <c r="D142" s="38">
        <v>131</v>
      </c>
      <c r="E142" s="56">
        <f t="shared" si="5"/>
        <v>2.6992366412213742</v>
      </c>
      <c r="F142" s="48">
        <f t="shared" si="7"/>
        <v>0.11246819338422392</v>
      </c>
    </row>
    <row r="143" spans="1:6" x14ac:dyDescent="0.25">
      <c r="A143" s="51">
        <v>45639.999305555553</v>
      </c>
      <c r="B143" s="38">
        <v>357.6</v>
      </c>
      <c r="C143" s="38">
        <v>120</v>
      </c>
      <c r="D143" s="38">
        <v>131</v>
      </c>
      <c r="E143" s="56">
        <f t="shared" si="5"/>
        <v>2.7297709923664124</v>
      </c>
      <c r="F143" s="48">
        <f t="shared" si="7"/>
        <v>0.11374045801526718</v>
      </c>
    </row>
    <row r="144" spans="1:6" x14ac:dyDescent="0.25">
      <c r="A144" s="51">
        <v>45640.999305555553</v>
      </c>
      <c r="B144" s="38">
        <v>414.2</v>
      </c>
      <c r="C144" s="38">
        <v>120</v>
      </c>
      <c r="D144" s="38">
        <v>131</v>
      </c>
      <c r="E144" s="56">
        <f t="shared" si="5"/>
        <v>3.1618320610687021</v>
      </c>
      <c r="F144" s="48">
        <f t="shared" si="7"/>
        <v>0.13174300254452925</v>
      </c>
    </row>
    <row r="145" spans="1:6" x14ac:dyDescent="0.25">
      <c r="A145" s="51">
        <v>45641.999305555553</v>
      </c>
      <c r="B145" s="38">
        <v>294.89999999999998</v>
      </c>
      <c r="C145" s="38">
        <v>120</v>
      </c>
      <c r="D145" s="38">
        <v>131</v>
      </c>
      <c r="E145" s="56">
        <f t="shared" si="5"/>
        <v>2.2511450381679388</v>
      </c>
      <c r="F145" s="48">
        <f t="shared" si="7"/>
        <v>9.379770992366411E-2</v>
      </c>
    </row>
    <row r="146" spans="1:6" x14ac:dyDescent="0.25">
      <c r="A146" s="51">
        <v>45642.999305555553</v>
      </c>
      <c r="B146" s="38">
        <v>297.89999999999998</v>
      </c>
      <c r="C146" s="38">
        <v>120</v>
      </c>
      <c r="D146" s="38">
        <v>131</v>
      </c>
      <c r="E146" s="56">
        <f t="shared" si="5"/>
        <v>2.2740458015267175</v>
      </c>
      <c r="F146" s="48">
        <f t="shared" si="7"/>
        <v>9.4751908396946555E-2</v>
      </c>
    </row>
    <row r="147" spans="1:6" x14ac:dyDescent="0.25">
      <c r="A147" s="51">
        <v>45643.999305555553</v>
      </c>
      <c r="B147" s="38">
        <v>510.6</v>
      </c>
      <c r="C147" s="38">
        <v>120</v>
      </c>
      <c r="D147" s="38">
        <v>131</v>
      </c>
      <c r="E147" s="56">
        <f t="shared" si="5"/>
        <v>3.8977099236641224</v>
      </c>
      <c r="F147" s="48">
        <f t="shared" si="7"/>
        <v>0.16240458015267176</v>
      </c>
    </row>
    <row r="148" spans="1:6" x14ac:dyDescent="0.25">
      <c r="A148" s="51">
        <v>45644.999305555553</v>
      </c>
      <c r="B148" s="38">
        <v>662.8</v>
      </c>
      <c r="C148" s="38">
        <v>120</v>
      </c>
      <c r="D148" s="38">
        <v>131</v>
      </c>
      <c r="E148" s="56">
        <f t="shared" si="5"/>
        <v>5.0595419847328245</v>
      </c>
      <c r="F148" s="48">
        <f t="shared" si="7"/>
        <v>0.21081424936386767</v>
      </c>
    </row>
    <row r="149" spans="1:6" x14ac:dyDescent="0.25">
      <c r="A149" s="51">
        <v>45645.999305555553</v>
      </c>
      <c r="B149" s="38">
        <v>560.20000000000005</v>
      </c>
      <c r="C149" s="38">
        <v>120</v>
      </c>
      <c r="D149" s="38">
        <v>131</v>
      </c>
      <c r="E149" s="56">
        <f t="shared" si="5"/>
        <v>4.2763358778625955</v>
      </c>
      <c r="F149" s="48">
        <f t="shared" si="7"/>
        <v>0.17818066157760815</v>
      </c>
    </row>
    <row r="150" spans="1:6" x14ac:dyDescent="0.25">
      <c r="A150" s="51">
        <v>45646.999305555553</v>
      </c>
      <c r="B150" s="38">
        <v>384.9</v>
      </c>
      <c r="C150" s="38">
        <v>120</v>
      </c>
      <c r="D150" s="38">
        <v>131</v>
      </c>
      <c r="E150" s="56">
        <f t="shared" si="5"/>
        <v>2.9381679389312976</v>
      </c>
      <c r="F150" s="48">
        <f t="shared" si="7"/>
        <v>0.1224236641221374</v>
      </c>
    </row>
    <row r="151" spans="1:6" x14ac:dyDescent="0.25">
      <c r="A151" s="51">
        <v>45647.999305555553</v>
      </c>
      <c r="B151" s="38">
        <v>349.6</v>
      </c>
      <c r="C151" s="38">
        <v>120</v>
      </c>
      <c r="D151" s="38">
        <v>131</v>
      </c>
      <c r="E151" s="56">
        <f t="shared" si="5"/>
        <v>2.668702290076336</v>
      </c>
      <c r="F151" s="48">
        <f t="shared" si="7"/>
        <v>0.11119592875318067</v>
      </c>
    </row>
    <row r="152" spans="1:6" x14ac:dyDescent="0.25">
      <c r="A152" s="51">
        <v>45648.999305555553</v>
      </c>
      <c r="B152" s="38">
        <v>322.39999999999998</v>
      </c>
      <c r="C152" s="38">
        <v>120</v>
      </c>
      <c r="D152" s="38">
        <v>131</v>
      </c>
      <c r="E152" s="56">
        <f t="shared" si="5"/>
        <v>2.4610687022900763</v>
      </c>
      <c r="F152" s="48">
        <f t="shared" si="7"/>
        <v>0.1025445292620865</v>
      </c>
    </row>
    <row r="153" spans="1:6" x14ac:dyDescent="0.25">
      <c r="A153" s="51">
        <v>45649.999305555553</v>
      </c>
      <c r="B153" s="38">
        <v>412.3</v>
      </c>
      <c r="C153" s="38">
        <v>120</v>
      </c>
      <c r="D153" s="38">
        <v>131</v>
      </c>
      <c r="E153" s="56">
        <f t="shared" si="5"/>
        <v>3.1473282442748092</v>
      </c>
      <c r="F153" s="48">
        <f t="shared" si="7"/>
        <v>0.13113867684478372</v>
      </c>
    </row>
    <row r="154" spans="1:6" x14ac:dyDescent="0.25">
      <c r="A154" s="51">
        <v>45650.999305555553</v>
      </c>
      <c r="B154" s="38">
        <v>467.7</v>
      </c>
      <c r="C154" s="38">
        <v>120</v>
      </c>
      <c r="D154" s="38">
        <v>131</v>
      </c>
      <c r="E154" s="56">
        <f t="shared" si="5"/>
        <v>3.5702290076335879</v>
      </c>
      <c r="F154" s="48">
        <f t="shared" si="7"/>
        <v>0.14875954198473282</v>
      </c>
    </row>
    <row r="155" spans="1:6" x14ac:dyDescent="0.25">
      <c r="A155" s="51">
        <v>45651.999305555553</v>
      </c>
      <c r="B155" s="38">
        <v>374</v>
      </c>
      <c r="C155" s="38">
        <v>120</v>
      </c>
      <c r="D155" s="38">
        <v>131</v>
      </c>
      <c r="E155" s="56">
        <f t="shared" si="5"/>
        <v>2.8549618320610688</v>
      </c>
      <c r="F155" s="48">
        <f t="shared" si="7"/>
        <v>0.11895674300254452</v>
      </c>
    </row>
    <row r="156" spans="1:6" x14ac:dyDescent="0.25">
      <c r="A156" s="51">
        <v>45652.999305555553</v>
      </c>
      <c r="B156" s="38">
        <v>301</v>
      </c>
      <c r="C156" s="38">
        <v>120</v>
      </c>
      <c r="D156" s="38">
        <v>131</v>
      </c>
      <c r="E156" s="56">
        <f t="shared" si="5"/>
        <v>2.2977099236641223</v>
      </c>
      <c r="F156" s="48">
        <f t="shared" si="7"/>
        <v>9.5737913486005091E-2</v>
      </c>
    </row>
    <row r="157" spans="1:6" x14ac:dyDescent="0.25">
      <c r="A157" s="51">
        <v>45653.999305555553</v>
      </c>
      <c r="B157" s="38">
        <v>265.7</v>
      </c>
      <c r="C157" s="38">
        <v>120</v>
      </c>
      <c r="D157" s="38">
        <v>131</v>
      </c>
      <c r="E157" s="56">
        <f t="shared" si="5"/>
        <v>2.0282442748091603</v>
      </c>
      <c r="F157" s="48">
        <f t="shared" si="7"/>
        <v>8.4510178117048348E-2</v>
      </c>
    </row>
    <row r="158" spans="1:6" x14ac:dyDescent="0.25">
      <c r="A158" s="51">
        <v>45654.999305555553</v>
      </c>
      <c r="B158" s="38">
        <v>313</v>
      </c>
      <c r="C158" s="38">
        <v>120</v>
      </c>
      <c r="D158" s="38">
        <v>131</v>
      </c>
      <c r="E158" s="56">
        <f t="shared" si="5"/>
        <v>2.3893129770992365</v>
      </c>
      <c r="F158" s="48">
        <f t="shared" si="7"/>
        <v>9.9554707379134855E-2</v>
      </c>
    </row>
    <row r="159" spans="1:6" x14ac:dyDescent="0.25">
      <c r="A159" s="51">
        <v>45655.999305555553</v>
      </c>
      <c r="B159" s="38">
        <v>200.3</v>
      </c>
      <c r="C159" s="38">
        <v>120</v>
      </c>
      <c r="D159" s="38">
        <v>131</v>
      </c>
      <c r="E159" s="56">
        <f t="shared" si="5"/>
        <v>1.5290076335877862</v>
      </c>
      <c r="F159" s="48">
        <f t="shared" si="7"/>
        <v>6.3708651399491098E-2</v>
      </c>
    </row>
    <row r="160" spans="1:6" x14ac:dyDescent="0.25">
      <c r="A160" s="51">
        <v>45656.999305555553</v>
      </c>
      <c r="B160" s="38">
        <v>371.1</v>
      </c>
      <c r="C160" s="38">
        <v>120</v>
      </c>
      <c r="D160" s="38">
        <v>131</v>
      </c>
      <c r="E160" s="56">
        <f t="shared" si="5"/>
        <v>2.832824427480916</v>
      </c>
      <c r="F160" s="48">
        <f t="shared" si="7"/>
        <v>0.11803435114503817</v>
      </c>
    </row>
    <row r="161" spans="1:6" x14ac:dyDescent="0.25">
      <c r="A161" s="51">
        <v>45657.999305555553</v>
      </c>
      <c r="B161" s="38">
        <v>476.3</v>
      </c>
      <c r="C161" s="38">
        <v>120</v>
      </c>
      <c r="D161" s="38">
        <v>131</v>
      </c>
      <c r="E161" s="56">
        <f t="shared" si="5"/>
        <v>3.6358778625954198</v>
      </c>
      <c r="F161" s="48">
        <f t="shared" si="7"/>
        <v>0.15149491094147582</v>
      </c>
    </row>
    <row r="162" spans="1:6" x14ac:dyDescent="0.25">
      <c r="A162" s="51">
        <v>45658.999305555553</v>
      </c>
      <c r="B162" s="38">
        <v>414.2</v>
      </c>
      <c r="C162" s="38">
        <v>120</v>
      </c>
      <c r="D162" s="38">
        <v>131</v>
      </c>
      <c r="E162" s="56">
        <f t="shared" si="5"/>
        <v>3.1618320610687021</v>
      </c>
      <c r="F162" s="48">
        <f t="shared" si="7"/>
        <v>0.13174300254452925</v>
      </c>
    </row>
    <row r="163" spans="1:6" x14ac:dyDescent="0.25">
      <c r="A163" s="51">
        <v>45659.999305555553</v>
      </c>
      <c r="B163" s="38">
        <v>417</v>
      </c>
      <c r="C163" s="38">
        <v>120</v>
      </c>
      <c r="D163" s="38">
        <v>131</v>
      </c>
      <c r="E163" s="56">
        <f t="shared" si="5"/>
        <v>3.1832061068702289</v>
      </c>
      <c r="F163" s="48">
        <f t="shared" si="7"/>
        <v>0.13263358778625955</v>
      </c>
    </row>
    <row r="164" spans="1:6" x14ac:dyDescent="0.25">
      <c r="A164" s="51">
        <v>45660.999305555553</v>
      </c>
      <c r="B164" s="38">
        <v>288.39999999999998</v>
      </c>
      <c r="C164" s="38">
        <v>120</v>
      </c>
      <c r="D164" s="38">
        <v>131</v>
      </c>
      <c r="E164" s="56">
        <f t="shared" si="5"/>
        <v>2.2015267175572517</v>
      </c>
      <c r="F164" s="48">
        <f t="shared" si="7"/>
        <v>9.1730279898218817E-2</v>
      </c>
    </row>
    <row r="165" spans="1:6" x14ac:dyDescent="0.25">
      <c r="A165" s="51">
        <v>45661.999305555553</v>
      </c>
      <c r="B165" s="38">
        <v>325</v>
      </c>
      <c r="C165" s="38">
        <v>120</v>
      </c>
      <c r="D165" s="38">
        <v>131</v>
      </c>
      <c r="E165" s="56">
        <f t="shared" si="5"/>
        <v>2.4809160305343512</v>
      </c>
      <c r="F165" s="48">
        <f t="shared" si="7"/>
        <v>0.10337150127226463</v>
      </c>
    </row>
    <row r="166" spans="1:6" x14ac:dyDescent="0.25">
      <c r="A166" s="51">
        <v>45662.999305555553</v>
      </c>
      <c r="B166" s="38">
        <v>497.7</v>
      </c>
      <c r="C166" s="38">
        <v>120</v>
      </c>
      <c r="D166" s="38">
        <v>131</v>
      </c>
      <c r="E166" s="56">
        <f t="shared" si="5"/>
        <v>3.7992366412213738</v>
      </c>
      <c r="F166" s="48">
        <f t="shared" si="7"/>
        <v>0.15830152671755726</v>
      </c>
    </row>
    <row r="167" spans="1:6" x14ac:dyDescent="0.25">
      <c r="A167" s="51">
        <v>45663.999305555553</v>
      </c>
      <c r="B167" s="38">
        <v>490</v>
      </c>
      <c r="C167" s="38">
        <v>120</v>
      </c>
      <c r="D167" s="38">
        <v>131</v>
      </c>
      <c r="E167" s="56">
        <f t="shared" si="5"/>
        <v>3.7404580152671754</v>
      </c>
      <c r="F167" s="48">
        <f t="shared" si="7"/>
        <v>0.15585241730279897</v>
      </c>
    </row>
    <row r="168" spans="1:6" x14ac:dyDescent="0.25">
      <c r="A168" s="51">
        <v>45664.999305555553</v>
      </c>
      <c r="B168" s="38">
        <v>268</v>
      </c>
      <c r="C168" s="38">
        <v>120</v>
      </c>
      <c r="D168" s="38">
        <v>131</v>
      </c>
      <c r="E168" s="56">
        <f t="shared" si="5"/>
        <v>2.0458015267175571</v>
      </c>
      <c r="F168" s="48">
        <f t="shared" si="7"/>
        <v>8.5241730279898217E-2</v>
      </c>
    </row>
    <row r="169" spans="1:6" x14ac:dyDescent="0.25">
      <c r="A169" s="51">
        <v>45665.999305555553</v>
      </c>
      <c r="B169" s="38">
        <v>468.5</v>
      </c>
      <c r="C169" s="38">
        <v>120</v>
      </c>
      <c r="D169" s="38">
        <v>131</v>
      </c>
      <c r="E169" s="56">
        <f t="shared" si="5"/>
        <v>3.5763358778625953</v>
      </c>
      <c r="F169" s="48">
        <f t="shared" si="7"/>
        <v>0.14901399491094147</v>
      </c>
    </row>
    <row r="170" spans="1:6" x14ac:dyDescent="0.25">
      <c r="A170" s="51">
        <v>45666.999305555553</v>
      </c>
      <c r="B170" s="38">
        <v>228</v>
      </c>
      <c r="C170" s="38">
        <v>120</v>
      </c>
      <c r="D170" s="38">
        <v>131</v>
      </c>
      <c r="E170" s="56">
        <f t="shared" si="5"/>
        <v>1.7404580152671756</v>
      </c>
      <c r="F170" s="48">
        <f t="shared" si="7"/>
        <v>7.2519083969465645E-2</v>
      </c>
    </row>
    <row r="171" spans="1:6" x14ac:dyDescent="0.25">
      <c r="A171" s="51">
        <v>45667.999305555553</v>
      </c>
      <c r="B171" s="38">
        <v>416.1</v>
      </c>
      <c r="C171" s="38">
        <v>120</v>
      </c>
      <c r="D171" s="38">
        <v>131</v>
      </c>
      <c r="E171" s="56">
        <f t="shared" si="5"/>
        <v>3.1763358778625954</v>
      </c>
      <c r="F171" s="48">
        <f t="shared" si="7"/>
        <v>0.13234732824427481</v>
      </c>
    </row>
    <row r="172" spans="1:6" x14ac:dyDescent="0.25">
      <c r="A172" s="51">
        <v>45668.999305555553</v>
      </c>
      <c r="B172" s="38">
        <v>549.20000000000005</v>
      </c>
      <c r="C172" s="38">
        <v>120</v>
      </c>
      <c r="D172" s="38">
        <v>131</v>
      </c>
      <c r="E172" s="56">
        <f t="shared" si="5"/>
        <v>4.1923664122137412</v>
      </c>
      <c r="F172" s="48">
        <f t="shared" si="7"/>
        <v>0.17468193384223921</v>
      </c>
    </row>
    <row r="173" spans="1:6" x14ac:dyDescent="0.25">
      <c r="A173" s="51">
        <v>45669.999305555553</v>
      </c>
      <c r="B173" s="38">
        <v>512</v>
      </c>
      <c r="C173" s="38">
        <v>120</v>
      </c>
      <c r="D173" s="38">
        <v>131</v>
      </c>
      <c r="E173" s="56">
        <f t="shared" si="5"/>
        <v>3.9083969465648853</v>
      </c>
      <c r="F173" s="48">
        <f t="shared" si="7"/>
        <v>0.16284987277353691</v>
      </c>
    </row>
    <row r="174" spans="1:6" x14ac:dyDescent="0.25">
      <c r="A174" s="51">
        <v>45670.999305555553</v>
      </c>
      <c r="B174" s="38">
        <v>416.6</v>
      </c>
      <c r="C174" s="38">
        <v>120</v>
      </c>
      <c r="D174" s="38">
        <v>131</v>
      </c>
      <c r="E174" s="56">
        <f t="shared" si="5"/>
        <v>3.1801526717557254</v>
      </c>
      <c r="F174" s="48">
        <f t="shared" si="7"/>
        <v>0.13250636132315521</v>
      </c>
    </row>
    <row r="175" spans="1:6" x14ac:dyDescent="0.25">
      <c r="A175" s="51">
        <v>45671.999305555553</v>
      </c>
      <c r="B175" s="38">
        <v>295.5</v>
      </c>
      <c r="C175" s="38">
        <v>120</v>
      </c>
      <c r="D175" s="38">
        <v>131</v>
      </c>
      <c r="E175" s="56">
        <f t="shared" si="5"/>
        <v>2.2557251908396947</v>
      </c>
      <c r="F175" s="48">
        <f t="shared" si="7"/>
        <v>9.3988549618320608E-2</v>
      </c>
    </row>
    <row r="176" spans="1:6" x14ac:dyDescent="0.25">
      <c r="A176" s="51">
        <v>45672.999305555553</v>
      </c>
      <c r="B176" s="38">
        <v>318.3</v>
      </c>
      <c r="C176" s="38">
        <v>120</v>
      </c>
      <c r="D176" s="38">
        <v>131</v>
      </c>
      <c r="E176" s="56">
        <f t="shared" si="5"/>
        <v>2.4297709923664121</v>
      </c>
      <c r="F176" s="48">
        <f t="shared" si="7"/>
        <v>0.10124045801526718</v>
      </c>
    </row>
    <row r="177" spans="1:6" x14ac:dyDescent="0.25">
      <c r="A177" s="51">
        <v>45673.999305555553</v>
      </c>
      <c r="B177" s="38">
        <v>465.6</v>
      </c>
      <c r="C177" s="38">
        <v>120</v>
      </c>
      <c r="D177" s="38">
        <v>131</v>
      </c>
      <c r="E177" s="56">
        <f t="shared" si="5"/>
        <v>3.554198473282443</v>
      </c>
      <c r="F177" s="48">
        <f t="shared" si="7"/>
        <v>0.14809160305343513</v>
      </c>
    </row>
    <row r="178" spans="1:6" x14ac:dyDescent="0.25">
      <c r="A178" s="51">
        <v>45674.999305555553</v>
      </c>
      <c r="B178" s="38">
        <v>684</v>
      </c>
      <c r="C178" s="38">
        <v>120</v>
      </c>
      <c r="D178" s="38">
        <v>131</v>
      </c>
      <c r="E178" s="56">
        <f t="shared" si="5"/>
        <v>5.221374045801527</v>
      </c>
      <c r="F178" s="48">
        <f t="shared" si="7"/>
        <v>0.21755725190839695</v>
      </c>
    </row>
    <row r="179" spans="1:6" x14ac:dyDescent="0.25">
      <c r="A179" s="51">
        <v>45675.999305555553</v>
      </c>
      <c r="B179" s="38">
        <v>659.7</v>
      </c>
      <c r="C179" s="38">
        <v>120</v>
      </c>
      <c r="D179" s="38">
        <v>131</v>
      </c>
      <c r="E179" s="56">
        <f t="shared" si="5"/>
        <v>5.0358778625954201</v>
      </c>
      <c r="F179" s="48">
        <f t="shared" si="7"/>
        <v>0.20982824427480917</v>
      </c>
    </row>
    <row r="180" spans="1:6" x14ac:dyDescent="0.25">
      <c r="A180" s="51">
        <v>45676.999305555553</v>
      </c>
      <c r="B180" s="38">
        <v>657.8</v>
      </c>
      <c r="C180" s="38">
        <v>120</v>
      </c>
      <c r="D180" s="38">
        <v>131</v>
      </c>
      <c r="E180" s="56">
        <f t="shared" si="5"/>
        <v>5.0213740458015268</v>
      </c>
      <c r="F180" s="48">
        <f t="shared" si="7"/>
        <v>0.20922391857506359</v>
      </c>
    </row>
    <row r="181" spans="1:6" x14ac:dyDescent="0.25">
      <c r="A181" s="51">
        <v>45677.999305555553</v>
      </c>
      <c r="B181" s="38">
        <v>678.9</v>
      </c>
      <c r="C181" s="38">
        <v>120</v>
      </c>
      <c r="D181" s="38">
        <v>131</v>
      </c>
      <c r="E181" s="56">
        <f t="shared" si="5"/>
        <v>5.1824427480916029</v>
      </c>
      <c r="F181" s="48">
        <f t="shared" si="7"/>
        <v>0.21593511450381678</v>
      </c>
    </row>
    <row r="182" spans="1:6" x14ac:dyDescent="0.25">
      <c r="A182" s="51">
        <v>45678.999305555553</v>
      </c>
      <c r="B182" s="38">
        <v>560.20000000000005</v>
      </c>
      <c r="C182" s="38">
        <v>120</v>
      </c>
      <c r="D182" s="38">
        <v>131</v>
      </c>
      <c r="E182" s="56">
        <f t="shared" si="5"/>
        <v>4.2763358778625955</v>
      </c>
      <c r="F182" s="48">
        <f t="shared" si="7"/>
        <v>0.17818066157760815</v>
      </c>
    </row>
    <row r="183" spans="1:6" x14ac:dyDescent="0.25">
      <c r="A183" s="51">
        <v>45679.999305555553</v>
      </c>
      <c r="B183" s="38">
        <v>462.6</v>
      </c>
      <c r="C183" s="38">
        <v>120</v>
      </c>
      <c r="D183" s="38">
        <v>131</v>
      </c>
      <c r="E183" s="56">
        <f t="shared" si="5"/>
        <v>3.5312977099236642</v>
      </c>
      <c r="F183" s="48">
        <f t="shared" si="7"/>
        <v>0.14713740458015268</v>
      </c>
    </row>
    <row r="184" spans="1:6" x14ac:dyDescent="0.25">
      <c r="A184" s="51">
        <v>45680.999305555553</v>
      </c>
      <c r="B184" s="38">
        <v>519.4</v>
      </c>
      <c r="C184" s="38">
        <v>120</v>
      </c>
      <c r="D184" s="38">
        <v>131</v>
      </c>
      <c r="E184" s="56">
        <f t="shared" si="5"/>
        <v>3.9648854961832058</v>
      </c>
      <c r="F184" s="48">
        <f t="shared" si="7"/>
        <v>0.16520356234096692</v>
      </c>
    </row>
    <row r="185" spans="1:6" x14ac:dyDescent="0.25">
      <c r="A185" s="51">
        <v>45681.999305555553</v>
      </c>
      <c r="B185" s="38">
        <v>531.4</v>
      </c>
      <c r="C185" s="38">
        <v>120</v>
      </c>
      <c r="D185" s="38">
        <v>131</v>
      </c>
      <c r="E185" s="56">
        <f t="shared" si="5"/>
        <v>4.0564885496183205</v>
      </c>
      <c r="F185" s="48">
        <f t="shared" si="7"/>
        <v>0.1690203562340967</v>
      </c>
    </row>
    <row r="186" spans="1:6" x14ac:dyDescent="0.25">
      <c r="A186" s="51">
        <v>45682.999305555553</v>
      </c>
      <c r="B186" s="38">
        <v>617.1</v>
      </c>
      <c r="C186" s="38">
        <v>120</v>
      </c>
      <c r="D186" s="38">
        <v>131</v>
      </c>
      <c r="E186" s="56">
        <f t="shared" ref="E186:E212" si="8">B186/D186</f>
        <v>4.7106870229007631</v>
      </c>
      <c r="F186" s="48">
        <f t="shared" si="7"/>
        <v>0.19627862595419848</v>
      </c>
    </row>
    <row r="187" spans="1:6" x14ac:dyDescent="0.25">
      <c r="A187" s="51">
        <v>45683.999305555553</v>
      </c>
      <c r="B187" s="38">
        <v>434</v>
      </c>
      <c r="C187" s="38">
        <v>120</v>
      </c>
      <c r="D187" s="38">
        <v>131</v>
      </c>
      <c r="E187" s="56">
        <f t="shared" si="8"/>
        <v>3.3129770992366412</v>
      </c>
      <c r="F187" s="48">
        <f t="shared" si="7"/>
        <v>0.13804071246819338</v>
      </c>
    </row>
    <row r="188" spans="1:6" x14ac:dyDescent="0.25">
      <c r="A188" s="51">
        <v>45692.999305555553</v>
      </c>
      <c r="B188" s="38">
        <v>524.9</v>
      </c>
      <c r="C188" s="38">
        <v>120</v>
      </c>
      <c r="D188" s="38">
        <v>131</v>
      </c>
      <c r="E188" s="56">
        <f t="shared" si="8"/>
        <v>4.0068702290076335</v>
      </c>
      <c r="F188" s="48">
        <f t="shared" si="7"/>
        <v>0.1669529262086514</v>
      </c>
    </row>
    <row r="189" spans="1:6" x14ac:dyDescent="0.25">
      <c r="A189" s="51">
        <v>45693.999305555553</v>
      </c>
      <c r="B189" s="38">
        <v>629.5</v>
      </c>
      <c r="C189" s="38">
        <v>120</v>
      </c>
      <c r="D189" s="38">
        <v>131</v>
      </c>
      <c r="E189" s="56">
        <f t="shared" si="8"/>
        <v>4.8053435114503813</v>
      </c>
      <c r="F189" s="48">
        <f t="shared" si="7"/>
        <v>0.20022264631043257</v>
      </c>
    </row>
    <row r="190" spans="1:6" x14ac:dyDescent="0.25">
      <c r="A190" s="51">
        <v>45694.999305555553</v>
      </c>
      <c r="B190" s="38">
        <v>677.7</v>
      </c>
      <c r="C190" s="38">
        <v>120</v>
      </c>
      <c r="D190" s="38">
        <v>131</v>
      </c>
      <c r="E190" s="56">
        <f t="shared" si="8"/>
        <v>5.1732824427480919</v>
      </c>
      <c r="F190" s="48">
        <f t="shared" si="7"/>
        <v>0.21555343511450384</v>
      </c>
    </row>
    <row r="191" spans="1:6" x14ac:dyDescent="0.25">
      <c r="A191" s="51">
        <v>45695.999305555553</v>
      </c>
      <c r="B191" s="38">
        <v>608.9</v>
      </c>
      <c r="C191" s="38">
        <v>120</v>
      </c>
      <c r="D191" s="38">
        <v>131</v>
      </c>
      <c r="E191" s="56">
        <f t="shared" si="8"/>
        <v>4.6480916030534347</v>
      </c>
      <c r="F191" s="48">
        <f t="shared" si="7"/>
        <v>0.19367048346055979</v>
      </c>
    </row>
    <row r="192" spans="1:6" x14ac:dyDescent="0.25">
      <c r="A192" s="51">
        <v>45696.999305555553</v>
      </c>
      <c r="B192" s="38">
        <v>441.1</v>
      </c>
      <c r="C192" s="38">
        <v>120</v>
      </c>
      <c r="D192" s="38">
        <v>131</v>
      </c>
      <c r="E192" s="56">
        <f t="shared" si="8"/>
        <v>3.3671755725190842</v>
      </c>
      <c r="F192" s="48">
        <f t="shared" si="7"/>
        <v>0.14029898218829517</v>
      </c>
    </row>
    <row r="193" spans="1:6" x14ac:dyDescent="0.25">
      <c r="A193" s="51">
        <v>45697.999305555553</v>
      </c>
      <c r="B193" s="38">
        <v>456</v>
      </c>
      <c r="C193" s="38">
        <v>120</v>
      </c>
      <c r="D193" s="38">
        <v>131</v>
      </c>
      <c r="E193" s="56">
        <f t="shared" si="8"/>
        <v>3.4809160305343512</v>
      </c>
      <c r="F193" s="48">
        <f t="shared" si="7"/>
        <v>0.14503816793893129</v>
      </c>
    </row>
    <row r="194" spans="1:6" x14ac:dyDescent="0.25">
      <c r="A194" s="51">
        <v>45698.999305555553</v>
      </c>
      <c r="B194" s="38">
        <v>438.7</v>
      </c>
      <c r="C194" s="38">
        <v>120</v>
      </c>
      <c r="D194" s="38">
        <v>131</v>
      </c>
      <c r="E194" s="56">
        <f t="shared" si="8"/>
        <v>3.3488549618320609</v>
      </c>
      <c r="F194" s="48">
        <f t="shared" si="7"/>
        <v>0.13953562340966921</v>
      </c>
    </row>
    <row r="195" spans="1:6" x14ac:dyDescent="0.25">
      <c r="A195" s="51">
        <v>45699.999305555553</v>
      </c>
      <c r="B195" s="38">
        <v>598.4</v>
      </c>
      <c r="C195" s="38">
        <v>120</v>
      </c>
      <c r="D195" s="38">
        <v>131</v>
      </c>
      <c r="E195" s="56">
        <f t="shared" si="8"/>
        <v>4.5679389312977099</v>
      </c>
      <c r="F195" s="48">
        <f t="shared" si="7"/>
        <v>0.19033078880407123</v>
      </c>
    </row>
    <row r="196" spans="1:6" x14ac:dyDescent="0.25">
      <c r="A196" s="51">
        <v>45700.999305555553</v>
      </c>
      <c r="B196" s="38">
        <v>545.70000000000005</v>
      </c>
      <c r="C196" s="38">
        <v>120</v>
      </c>
      <c r="D196" s="38">
        <v>131</v>
      </c>
      <c r="E196" s="56">
        <f t="shared" si="8"/>
        <v>4.165648854961832</v>
      </c>
      <c r="F196" s="48">
        <f t="shared" ref="F196:F259" si="9">B196/(24*D196)</f>
        <v>0.17356870229007634</v>
      </c>
    </row>
    <row r="197" spans="1:6" x14ac:dyDescent="0.25">
      <c r="A197" s="51">
        <v>45701.999305555553</v>
      </c>
      <c r="B197" s="38">
        <v>463.5</v>
      </c>
      <c r="C197" s="38">
        <v>120</v>
      </c>
      <c r="D197" s="38">
        <v>131</v>
      </c>
      <c r="E197" s="56">
        <f t="shared" si="8"/>
        <v>3.5381679389312977</v>
      </c>
      <c r="F197" s="48">
        <f t="shared" si="9"/>
        <v>0.14742366412213739</v>
      </c>
    </row>
    <row r="198" spans="1:6" x14ac:dyDescent="0.25">
      <c r="A198" s="51">
        <v>45702.999305555553</v>
      </c>
      <c r="B198" s="38">
        <v>651.79999999999995</v>
      </c>
      <c r="C198" s="38">
        <v>120</v>
      </c>
      <c r="D198" s="38">
        <v>131</v>
      </c>
      <c r="E198" s="56">
        <f t="shared" si="8"/>
        <v>4.9755725190839692</v>
      </c>
      <c r="F198" s="48">
        <f t="shared" si="9"/>
        <v>0.2073155216284987</v>
      </c>
    </row>
    <row r="199" spans="1:6" x14ac:dyDescent="0.25">
      <c r="A199" s="51">
        <v>45703.999305555553</v>
      </c>
      <c r="B199" s="38">
        <v>609.70000000000005</v>
      </c>
      <c r="C199" s="38">
        <v>120</v>
      </c>
      <c r="D199" s="38">
        <v>131</v>
      </c>
      <c r="E199" s="56">
        <f t="shared" si="8"/>
        <v>4.6541984732824435</v>
      </c>
      <c r="F199" s="48">
        <f t="shared" si="9"/>
        <v>0.19392493638676847</v>
      </c>
    </row>
    <row r="200" spans="1:6" x14ac:dyDescent="0.25">
      <c r="A200" s="51">
        <v>45704.999305555553</v>
      </c>
      <c r="B200" s="38">
        <v>658.7</v>
      </c>
      <c r="C200" s="38">
        <v>120</v>
      </c>
      <c r="D200" s="38">
        <v>131</v>
      </c>
      <c r="E200" s="56">
        <f t="shared" si="8"/>
        <v>5.0282442748091603</v>
      </c>
      <c r="F200" s="48">
        <f t="shared" si="9"/>
        <v>0.20951017811704836</v>
      </c>
    </row>
    <row r="201" spans="1:6" x14ac:dyDescent="0.25">
      <c r="A201" s="51">
        <v>45705.999305555553</v>
      </c>
      <c r="B201" s="38">
        <v>646.6</v>
      </c>
      <c r="C201" s="38">
        <v>120</v>
      </c>
      <c r="D201" s="38">
        <v>131</v>
      </c>
      <c r="E201" s="56">
        <f t="shared" si="8"/>
        <v>4.9358778625954196</v>
      </c>
      <c r="F201" s="48">
        <f t="shared" si="9"/>
        <v>0.20566157760814249</v>
      </c>
    </row>
    <row r="202" spans="1:6" x14ac:dyDescent="0.25">
      <c r="A202" s="51">
        <v>45706.999305555553</v>
      </c>
      <c r="B202" s="38">
        <v>559.5</v>
      </c>
      <c r="C202" s="38">
        <v>120</v>
      </c>
      <c r="D202" s="38">
        <v>131</v>
      </c>
      <c r="E202" s="56">
        <f t="shared" si="8"/>
        <v>4.270992366412214</v>
      </c>
      <c r="F202" s="48">
        <f t="shared" si="9"/>
        <v>0.17795801526717558</v>
      </c>
    </row>
    <row r="203" spans="1:6" x14ac:dyDescent="0.25">
      <c r="A203" s="51">
        <v>45707.999305555553</v>
      </c>
      <c r="B203" s="38">
        <v>614.29999999999995</v>
      </c>
      <c r="C203" s="38">
        <v>120</v>
      </c>
      <c r="D203" s="38">
        <v>131</v>
      </c>
      <c r="E203" s="56">
        <f t="shared" si="8"/>
        <v>4.6893129770992363</v>
      </c>
      <c r="F203" s="48">
        <f t="shared" si="9"/>
        <v>0.19538804071246818</v>
      </c>
    </row>
    <row r="204" spans="1:6" x14ac:dyDescent="0.25">
      <c r="A204" s="51">
        <v>45708.999305555553</v>
      </c>
      <c r="B204" s="38">
        <v>574.20000000000005</v>
      </c>
      <c r="C204" s="38">
        <v>120</v>
      </c>
      <c r="D204" s="38">
        <v>131</v>
      </c>
      <c r="E204" s="56">
        <f t="shared" si="8"/>
        <v>4.3832061068702295</v>
      </c>
      <c r="F204" s="48">
        <f t="shared" si="9"/>
        <v>0.18263358778625954</v>
      </c>
    </row>
    <row r="205" spans="1:6" x14ac:dyDescent="0.25">
      <c r="A205" s="51">
        <v>45709.999305555553</v>
      </c>
      <c r="B205" s="38">
        <v>569.29999999999995</v>
      </c>
      <c r="C205" s="38">
        <v>120</v>
      </c>
      <c r="D205" s="38">
        <v>131</v>
      </c>
      <c r="E205" s="56">
        <f t="shared" si="8"/>
        <v>4.3458015267175565</v>
      </c>
      <c r="F205" s="48">
        <f t="shared" si="9"/>
        <v>0.18107506361323153</v>
      </c>
    </row>
    <row r="206" spans="1:6" x14ac:dyDescent="0.25">
      <c r="A206" s="51">
        <v>45710.999305555553</v>
      </c>
      <c r="B206" s="38">
        <v>576.6</v>
      </c>
      <c r="C206" s="38">
        <v>120</v>
      </c>
      <c r="D206" s="38">
        <v>131</v>
      </c>
      <c r="E206" s="56">
        <f t="shared" si="8"/>
        <v>4.4015267175572523</v>
      </c>
      <c r="F206" s="48">
        <f t="shared" si="9"/>
        <v>0.1833969465648855</v>
      </c>
    </row>
    <row r="207" spans="1:6" x14ac:dyDescent="0.25">
      <c r="A207" s="51">
        <v>45711.999305555553</v>
      </c>
      <c r="B207" s="38">
        <v>459.8</v>
      </c>
      <c r="C207" s="38">
        <v>120</v>
      </c>
      <c r="D207" s="38">
        <v>131</v>
      </c>
      <c r="E207" s="56">
        <f t="shared" si="8"/>
        <v>3.5099236641221374</v>
      </c>
      <c r="F207" s="48">
        <f t="shared" si="9"/>
        <v>0.1462468193384224</v>
      </c>
    </row>
    <row r="208" spans="1:6" x14ac:dyDescent="0.25">
      <c r="A208" s="51">
        <v>45712.999305555553</v>
      </c>
      <c r="B208" s="38">
        <v>570</v>
      </c>
      <c r="C208" s="38">
        <v>120</v>
      </c>
      <c r="D208" s="38">
        <v>131</v>
      </c>
      <c r="E208" s="56">
        <f t="shared" si="8"/>
        <v>4.3511450381679388</v>
      </c>
      <c r="F208" s="48">
        <f t="shared" si="9"/>
        <v>0.18129770992366412</v>
      </c>
    </row>
    <row r="209" spans="1:6" x14ac:dyDescent="0.25">
      <c r="A209" s="51">
        <v>45713.999305555553</v>
      </c>
      <c r="B209" s="38">
        <v>464.6</v>
      </c>
      <c r="C209" s="38">
        <v>120</v>
      </c>
      <c r="D209" s="38">
        <v>131</v>
      </c>
      <c r="E209" s="56">
        <f t="shared" si="8"/>
        <v>3.5465648854961835</v>
      </c>
      <c r="F209" s="48">
        <f t="shared" si="9"/>
        <v>0.1477735368956743</v>
      </c>
    </row>
    <row r="210" spans="1:6" x14ac:dyDescent="0.25">
      <c r="A210" s="51">
        <v>45714.999305555553</v>
      </c>
      <c r="B210" s="38">
        <v>619.6</v>
      </c>
      <c r="C210" s="38">
        <v>120</v>
      </c>
      <c r="D210" s="38">
        <v>131</v>
      </c>
      <c r="E210" s="56">
        <f t="shared" si="8"/>
        <v>4.7297709923664124</v>
      </c>
      <c r="F210" s="48">
        <f>B210/(24*D210)</f>
        <v>0.19707379134860051</v>
      </c>
    </row>
    <row r="211" spans="1:6" x14ac:dyDescent="0.25">
      <c r="A211" s="51">
        <v>45715.999305555553</v>
      </c>
      <c r="B211" s="38">
        <v>532.9</v>
      </c>
      <c r="C211" s="38">
        <v>120</v>
      </c>
      <c r="D211" s="38">
        <v>131</v>
      </c>
      <c r="E211" s="56">
        <f t="shared" si="8"/>
        <v>4.0679389312977099</v>
      </c>
      <c r="F211" s="48">
        <f t="shared" si="9"/>
        <v>0.16949745547073791</v>
      </c>
    </row>
    <row r="212" spans="1:6" x14ac:dyDescent="0.25">
      <c r="A212" s="51">
        <v>45716.999305555553</v>
      </c>
      <c r="B212" s="38">
        <v>520.1</v>
      </c>
      <c r="C212" s="38">
        <v>120</v>
      </c>
      <c r="D212" s="38">
        <v>131</v>
      </c>
      <c r="E212" s="56">
        <f t="shared" si="8"/>
        <v>3.9702290076335878</v>
      </c>
      <c r="F212" s="48">
        <f t="shared" si="9"/>
        <v>0.16542620865139951</v>
      </c>
    </row>
    <row r="213" spans="1:6" x14ac:dyDescent="0.25">
      <c r="A213" s="51">
        <v>45717.999305555553</v>
      </c>
      <c r="B213" s="38">
        <v>441.8</v>
      </c>
      <c r="C213" s="38">
        <v>120</v>
      </c>
      <c r="D213" s="38">
        <v>131</v>
      </c>
      <c r="E213" s="56">
        <f>B213/D213</f>
        <v>3.3725190839694656</v>
      </c>
      <c r="F213" s="48">
        <f t="shared" si="9"/>
        <v>0.14052162849872774</v>
      </c>
    </row>
    <row r="214" spans="1:6" x14ac:dyDescent="0.25">
      <c r="A214" s="51">
        <v>45718.999305555553</v>
      </c>
      <c r="B214" s="38">
        <v>403.6</v>
      </c>
      <c r="C214" s="38">
        <v>120</v>
      </c>
      <c r="D214" s="38">
        <v>131</v>
      </c>
      <c r="E214" s="56">
        <f t="shared" ref="E214:E273" si="10">B214/D214</f>
        <v>3.0809160305343513</v>
      </c>
      <c r="F214" s="48">
        <f t="shared" si="9"/>
        <v>0.12837150127226463</v>
      </c>
    </row>
    <row r="215" spans="1:6" x14ac:dyDescent="0.25">
      <c r="A215" s="51">
        <v>45719.999305555553</v>
      </c>
      <c r="B215" s="38">
        <v>552</v>
      </c>
      <c r="C215" s="38">
        <v>120</v>
      </c>
      <c r="D215" s="38">
        <v>131</v>
      </c>
      <c r="E215" s="56">
        <f t="shared" si="10"/>
        <v>4.2137404580152671</v>
      </c>
      <c r="F215" s="48">
        <f t="shared" si="9"/>
        <v>0.17557251908396945</v>
      </c>
    </row>
    <row r="216" spans="1:6" x14ac:dyDescent="0.25">
      <c r="A216" s="51">
        <v>45720.999305555553</v>
      </c>
      <c r="B216" s="38">
        <v>447.1</v>
      </c>
      <c r="C216" s="38">
        <v>120</v>
      </c>
      <c r="D216" s="38">
        <v>131</v>
      </c>
      <c r="E216" s="56">
        <f t="shared" si="10"/>
        <v>3.4129770992366413</v>
      </c>
      <c r="F216" s="48">
        <f t="shared" si="9"/>
        <v>0.14220737913486006</v>
      </c>
    </row>
    <row r="217" spans="1:6" x14ac:dyDescent="0.25">
      <c r="A217" s="51">
        <v>45721.999305555553</v>
      </c>
      <c r="B217" s="38">
        <v>597.79999999999995</v>
      </c>
      <c r="C217" s="38">
        <v>120</v>
      </c>
      <c r="D217" s="38">
        <v>131</v>
      </c>
      <c r="E217" s="56">
        <f t="shared" si="10"/>
        <v>4.563358778625954</v>
      </c>
      <c r="F217" s="48">
        <f t="shared" si="9"/>
        <v>0.19013994910941476</v>
      </c>
    </row>
    <row r="218" spans="1:6" x14ac:dyDescent="0.25">
      <c r="A218" s="51">
        <v>45722.999305555553</v>
      </c>
      <c r="B218" s="38">
        <v>558.9</v>
      </c>
      <c r="C218" s="38">
        <v>120</v>
      </c>
      <c r="D218" s="38">
        <v>131</v>
      </c>
      <c r="E218" s="56">
        <f t="shared" si="10"/>
        <v>4.2664122137404581</v>
      </c>
      <c r="F218" s="48">
        <f t="shared" si="9"/>
        <v>0.17776717557251909</v>
      </c>
    </row>
    <row r="219" spans="1:6" x14ac:dyDescent="0.25">
      <c r="A219" s="51">
        <v>45723.999305555553</v>
      </c>
      <c r="B219" s="38">
        <v>515.5</v>
      </c>
      <c r="C219" s="38">
        <v>120</v>
      </c>
      <c r="D219" s="38">
        <v>131</v>
      </c>
      <c r="E219" s="56">
        <f t="shared" si="10"/>
        <v>3.9351145038167941</v>
      </c>
      <c r="F219" s="48">
        <f t="shared" si="9"/>
        <v>0.16396310432569974</v>
      </c>
    </row>
    <row r="220" spans="1:6" x14ac:dyDescent="0.25">
      <c r="A220" s="51">
        <v>45724.999305555553</v>
      </c>
      <c r="B220" s="38">
        <v>576.1</v>
      </c>
      <c r="C220" s="38">
        <v>120</v>
      </c>
      <c r="D220" s="38">
        <v>131</v>
      </c>
      <c r="E220" s="56">
        <f t="shared" si="10"/>
        <v>4.3977099236641219</v>
      </c>
      <c r="F220" s="48">
        <f t="shared" si="9"/>
        <v>0.1832379134860051</v>
      </c>
    </row>
    <row r="221" spans="1:6" x14ac:dyDescent="0.25">
      <c r="A221" s="51">
        <v>45725.999305555553</v>
      </c>
      <c r="B221" s="38">
        <v>594.29999999999995</v>
      </c>
      <c r="C221" s="38">
        <v>120</v>
      </c>
      <c r="D221" s="38">
        <v>131</v>
      </c>
      <c r="E221" s="56">
        <f t="shared" si="10"/>
        <v>4.5366412213740457</v>
      </c>
      <c r="F221" s="48">
        <f t="shared" si="9"/>
        <v>0.18902671755725189</v>
      </c>
    </row>
    <row r="222" spans="1:6" x14ac:dyDescent="0.25">
      <c r="A222" s="51">
        <v>45726.999305555553</v>
      </c>
      <c r="B222" s="38">
        <v>596</v>
      </c>
      <c r="C222" s="38">
        <v>120</v>
      </c>
      <c r="D222" s="38">
        <v>131</v>
      </c>
      <c r="E222" s="56">
        <f t="shared" si="10"/>
        <v>4.5496183206106871</v>
      </c>
      <c r="F222" s="48">
        <f t="shared" si="9"/>
        <v>0.18956743002544529</v>
      </c>
    </row>
    <row r="223" spans="1:6" x14ac:dyDescent="0.25">
      <c r="A223" s="51">
        <v>45727.999305555553</v>
      </c>
      <c r="B223" s="38">
        <v>551.20000000000005</v>
      </c>
      <c r="C223" s="38">
        <v>120</v>
      </c>
      <c r="D223" s="38">
        <v>131</v>
      </c>
      <c r="E223" s="56">
        <f t="shared" si="10"/>
        <v>4.2076335877862601</v>
      </c>
      <c r="F223" s="48">
        <f t="shared" si="9"/>
        <v>0.17531806615776083</v>
      </c>
    </row>
    <row r="224" spans="1:6" x14ac:dyDescent="0.25">
      <c r="A224" s="51">
        <v>45728.999305555553</v>
      </c>
      <c r="B224" s="38">
        <v>616</v>
      </c>
      <c r="C224" s="38">
        <v>120</v>
      </c>
      <c r="D224" s="38">
        <v>131</v>
      </c>
      <c r="E224" s="56">
        <f t="shared" si="10"/>
        <v>4.7022900763358777</v>
      </c>
      <c r="F224" s="48">
        <f t="shared" si="9"/>
        <v>0.19592875318066158</v>
      </c>
    </row>
    <row r="225" spans="1:6" x14ac:dyDescent="0.25">
      <c r="A225" s="51">
        <v>45729.999305555553</v>
      </c>
      <c r="B225" s="38">
        <v>511</v>
      </c>
      <c r="C225" s="38">
        <v>120</v>
      </c>
      <c r="D225" s="38">
        <v>131</v>
      </c>
      <c r="E225" s="56">
        <f t="shared" si="10"/>
        <v>3.9007633587786259</v>
      </c>
      <c r="F225" s="48">
        <f t="shared" si="9"/>
        <v>0.16253180661577607</v>
      </c>
    </row>
    <row r="226" spans="1:6" x14ac:dyDescent="0.25">
      <c r="A226" s="51">
        <v>45730.999305555553</v>
      </c>
      <c r="B226" s="38">
        <v>483.5</v>
      </c>
      <c r="C226" s="38">
        <v>120</v>
      </c>
      <c r="D226" s="38">
        <v>131</v>
      </c>
      <c r="E226" s="56">
        <f t="shared" si="10"/>
        <v>3.6908396946564888</v>
      </c>
      <c r="F226" s="48">
        <f t="shared" si="9"/>
        <v>0.15378498727735368</v>
      </c>
    </row>
    <row r="227" spans="1:6" x14ac:dyDescent="0.25">
      <c r="A227" s="51">
        <v>45731.999305555553</v>
      </c>
      <c r="B227" s="38">
        <v>505.8</v>
      </c>
      <c r="C227" s="38">
        <v>120</v>
      </c>
      <c r="D227" s="38">
        <v>131</v>
      </c>
      <c r="E227" s="56">
        <f t="shared" si="10"/>
        <v>3.8610687022900763</v>
      </c>
      <c r="F227" s="48">
        <f t="shared" si="9"/>
        <v>0.16087786259541986</v>
      </c>
    </row>
    <row r="228" spans="1:6" x14ac:dyDescent="0.25">
      <c r="A228" s="51">
        <v>45732.999305555553</v>
      </c>
      <c r="B228" s="38">
        <v>438.2</v>
      </c>
      <c r="C228" s="38">
        <v>120</v>
      </c>
      <c r="D228" s="38">
        <v>131</v>
      </c>
      <c r="E228" s="56">
        <f t="shared" si="10"/>
        <v>3.3450381679389314</v>
      </c>
      <c r="F228" s="48">
        <f t="shared" si="9"/>
        <v>0.13937659033078881</v>
      </c>
    </row>
    <row r="229" spans="1:6" x14ac:dyDescent="0.25">
      <c r="A229" s="51">
        <v>45733.999305555553</v>
      </c>
      <c r="B229" s="38">
        <v>392.9</v>
      </c>
      <c r="C229" s="38">
        <v>120</v>
      </c>
      <c r="D229" s="38">
        <v>131</v>
      </c>
      <c r="E229" s="56">
        <f t="shared" si="10"/>
        <v>2.999236641221374</v>
      </c>
      <c r="F229" s="48">
        <f t="shared" si="9"/>
        <v>0.12496819338422391</v>
      </c>
    </row>
    <row r="230" spans="1:6" x14ac:dyDescent="0.25">
      <c r="A230" s="51">
        <v>45734.999305555553</v>
      </c>
      <c r="B230" s="38">
        <v>484.1</v>
      </c>
      <c r="C230" s="38">
        <v>120</v>
      </c>
      <c r="D230" s="38">
        <v>131</v>
      </c>
      <c r="E230" s="56">
        <f t="shared" si="10"/>
        <v>3.6954198473282442</v>
      </c>
      <c r="F230" s="48">
        <f t="shared" si="9"/>
        <v>0.15397582697201018</v>
      </c>
    </row>
    <row r="231" spans="1:6" x14ac:dyDescent="0.25">
      <c r="A231" s="51">
        <v>45735.999305555553</v>
      </c>
      <c r="B231" s="38">
        <v>484.1</v>
      </c>
      <c r="C231" s="38">
        <v>120</v>
      </c>
      <c r="D231" s="38">
        <v>131</v>
      </c>
      <c r="E231" s="56">
        <f t="shared" si="10"/>
        <v>3.6954198473282442</v>
      </c>
      <c r="F231" s="48">
        <f t="shared" si="9"/>
        <v>0.15397582697201018</v>
      </c>
    </row>
    <row r="232" spans="1:6" x14ac:dyDescent="0.25">
      <c r="A232" s="51">
        <v>45736.999305555553</v>
      </c>
      <c r="B232" s="38">
        <v>484.1</v>
      </c>
      <c r="C232" s="38">
        <v>120</v>
      </c>
      <c r="D232" s="38">
        <v>131</v>
      </c>
      <c r="E232" s="56">
        <f t="shared" si="10"/>
        <v>3.6954198473282442</v>
      </c>
      <c r="F232" s="48">
        <f t="shared" si="9"/>
        <v>0.15397582697201018</v>
      </c>
    </row>
    <row r="233" spans="1:6" x14ac:dyDescent="0.25">
      <c r="A233" s="51">
        <v>45737.999305555553</v>
      </c>
      <c r="B233" s="38">
        <v>484.1</v>
      </c>
      <c r="C233" s="38">
        <v>120</v>
      </c>
      <c r="D233" s="38">
        <v>131</v>
      </c>
      <c r="E233" s="56">
        <f t="shared" si="10"/>
        <v>3.6954198473282442</v>
      </c>
      <c r="F233" s="48">
        <f t="shared" si="9"/>
        <v>0.15397582697201018</v>
      </c>
    </row>
    <row r="234" spans="1:6" x14ac:dyDescent="0.25">
      <c r="A234" s="51">
        <v>45738.999305555553</v>
      </c>
      <c r="B234" s="38">
        <v>484.1</v>
      </c>
      <c r="C234" s="38">
        <v>120</v>
      </c>
      <c r="D234" s="38">
        <v>131</v>
      </c>
      <c r="E234" s="56">
        <f t="shared" si="10"/>
        <v>3.6954198473282442</v>
      </c>
      <c r="F234" s="48">
        <f t="shared" si="9"/>
        <v>0.15397582697201018</v>
      </c>
    </row>
    <row r="235" spans="1:6" x14ac:dyDescent="0.25">
      <c r="A235" s="51">
        <v>45739.999305555553</v>
      </c>
      <c r="B235" s="38">
        <v>484.1</v>
      </c>
      <c r="C235" s="38">
        <v>120</v>
      </c>
      <c r="D235" s="38">
        <v>131</v>
      </c>
      <c r="E235" s="56">
        <f t="shared" si="10"/>
        <v>3.6954198473282442</v>
      </c>
      <c r="F235" s="48">
        <f t="shared" si="9"/>
        <v>0.15397582697201018</v>
      </c>
    </row>
    <row r="236" spans="1:6" x14ac:dyDescent="0.25">
      <c r="A236" s="51">
        <v>45740.999305555553</v>
      </c>
      <c r="B236" s="38">
        <v>484.1</v>
      </c>
      <c r="C236" s="38">
        <v>120</v>
      </c>
      <c r="D236" s="38">
        <v>131</v>
      </c>
      <c r="E236" s="56">
        <f t="shared" si="10"/>
        <v>3.6954198473282442</v>
      </c>
      <c r="F236" s="48">
        <f t="shared" si="9"/>
        <v>0.15397582697201018</v>
      </c>
    </row>
    <row r="237" spans="1:6" x14ac:dyDescent="0.25">
      <c r="A237" s="51">
        <v>45741.999305555553</v>
      </c>
      <c r="B237" s="38">
        <v>484.1</v>
      </c>
      <c r="C237" s="38">
        <v>120</v>
      </c>
      <c r="D237" s="38">
        <v>131</v>
      </c>
      <c r="E237" s="56">
        <f t="shared" si="10"/>
        <v>3.6954198473282442</v>
      </c>
      <c r="F237" s="48">
        <f t="shared" si="9"/>
        <v>0.15397582697201018</v>
      </c>
    </row>
    <row r="238" spans="1:6" x14ac:dyDescent="0.25">
      <c r="A238" s="51">
        <v>45742.999305555553</v>
      </c>
      <c r="B238" s="38">
        <v>374.6</v>
      </c>
      <c r="C238" s="38">
        <v>120</v>
      </c>
      <c r="D238" s="38">
        <v>131</v>
      </c>
      <c r="E238" s="56">
        <f t="shared" si="10"/>
        <v>2.8595419847328247</v>
      </c>
      <c r="F238" s="48">
        <f t="shared" si="9"/>
        <v>0.11914758269720102</v>
      </c>
    </row>
    <row r="239" spans="1:6" x14ac:dyDescent="0.25">
      <c r="A239" s="51">
        <v>45743.999305555553</v>
      </c>
      <c r="B239" s="38">
        <v>413.8</v>
      </c>
      <c r="C239" s="38">
        <v>120</v>
      </c>
      <c r="D239" s="38">
        <v>131</v>
      </c>
      <c r="E239" s="56">
        <f t="shared" si="10"/>
        <v>3.1587786259541986</v>
      </c>
      <c r="F239" s="48">
        <f t="shared" si="9"/>
        <v>0.13161577608142494</v>
      </c>
    </row>
    <row r="240" spans="1:6" x14ac:dyDescent="0.25">
      <c r="A240" s="51">
        <v>45744.999305555553</v>
      </c>
      <c r="B240" s="38">
        <v>527.29999999999995</v>
      </c>
      <c r="C240" s="38">
        <v>120</v>
      </c>
      <c r="D240" s="38">
        <v>131</v>
      </c>
      <c r="E240" s="56">
        <f t="shared" si="10"/>
        <v>4.0251908396946563</v>
      </c>
      <c r="F240" s="48">
        <f t="shared" si="9"/>
        <v>0.16771628498727734</v>
      </c>
    </row>
    <row r="241" spans="1:6" x14ac:dyDescent="0.25">
      <c r="A241" s="51">
        <v>45745.999305555553</v>
      </c>
      <c r="B241" s="38">
        <v>512.6</v>
      </c>
      <c r="C241" s="38">
        <v>120</v>
      </c>
      <c r="D241" s="38">
        <v>131</v>
      </c>
      <c r="E241" s="56">
        <f>B241/D241</f>
        <v>3.9129770992366413</v>
      </c>
      <c r="F241" s="48">
        <f t="shared" si="9"/>
        <v>0.16304071246819341</v>
      </c>
    </row>
    <row r="242" spans="1:6" x14ac:dyDescent="0.25">
      <c r="A242" s="51">
        <v>45746.999305555553</v>
      </c>
      <c r="B242" s="38">
        <v>382.8</v>
      </c>
      <c r="C242" s="38">
        <v>120</v>
      </c>
      <c r="D242" s="38">
        <v>131</v>
      </c>
      <c r="E242" s="56">
        <f t="shared" si="10"/>
        <v>2.9221374045801527</v>
      </c>
      <c r="F242" s="48">
        <f t="shared" si="9"/>
        <v>0.1217557251908397</v>
      </c>
    </row>
    <row r="243" spans="1:6" x14ac:dyDescent="0.25">
      <c r="A243" s="51">
        <v>45747.999305555553</v>
      </c>
      <c r="B243" s="38">
        <v>389.5</v>
      </c>
      <c r="C243" s="38">
        <v>120</v>
      </c>
      <c r="D243" s="38">
        <v>131</v>
      </c>
      <c r="E243" s="56">
        <f t="shared" si="10"/>
        <v>2.9732824427480917</v>
      </c>
      <c r="F243" s="48">
        <f t="shared" si="9"/>
        <v>0.12388676844783715</v>
      </c>
    </row>
    <row r="244" spans="1:6" x14ac:dyDescent="0.25">
      <c r="A244" s="51">
        <v>45748.999305555553</v>
      </c>
      <c r="B244" s="38">
        <v>464.7</v>
      </c>
      <c r="C244" s="38">
        <v>120</v>
      </c>
      <c r="D244" s="38">
        <v>131</v>
      </c>
      <c r="E244" s="56">
        <f t="shared" si="10"/>
        <v>3.5473282442748091</v>
      </c>
      <c r="F244" s="48">
        <f t="shared" si="9"/>
        <v>0.14780534351145039</v>
      </c>
    </row>
    <row r="245" spans="1:6" x14ac:dyDescent="0.25">
      <c r="A245" s="51">
        <v>45749.999305555553</v>
      </c>
      <c r="B245" s="38">
        <v>419.2</v>
      </c>
      <c r="C245" s="38">
        <v>120</v>
      </c>
      <c r="D245" s="38">
        <v>131</v>
      </c>
      <c r="E245" s="56">
        <f t="shared" si="10"/>
        <v>3.1999999999999997</v>
      </c>
      <c r="F245" s="48">
        <f t="shared" si="9"/>
        <v>0.13333333333333333</v>
      </c>
    </row>
    <row r="246" spans="1:6" x14ac:dyDescent="0.25">
      <c r="A246" s="51">
        <v>45750.999305555553</v>
      </c>
      <c r="B246" s="38">
        <v>394.7</v>
      </c>
      <c r="C246" s="38">
        <v>120</v>
      </c>
      <c r="D246" s="38">
        <v>131</v>
      </c>
      <c r="E246" s="56">
        <f t="shared" si="10"/>
        <v>3.0129770992366409</v>
      </c>
      <c r="F246" s="48">
        <f t="shared" si="9"/>
        <v>0.12554071246819337</v>
      </c>
    </row>
    <row r="247" spans="1:6" x14ac:dyDescent="0.25">
      <c r="A247" s="51">
        <v>45751.999305555553</v>
      </c>
      <c r="B247" s="38">
        <v>467.8</v>
      </c>
      <c r="C247" s="38">
        <v>120</v>
      </c>
      <c r="D247" s="38">
        <v>131</v>
      </c>
      <c r="E247" s="56">
        <f t="shared" si="10"/>
        <v>3.5709923664122138</v>
      </c>
      <c r="F247" s="48">
        <f t="shared" si="9"/>
        <v>0.14879134860050891</v>
      </c>
    </row>
    <row r="248" spans="1:6" x14ac:dyDescent="0.25">
      <c r="A248" s="51">
        <v>45752.999305555553</v>
      </c>
      <c r="B248" s="38">
        <v>312</v>
      </c>
      <c r="C248" s="38">
        <v>120</v>
      </c>
      <c r="D248" s="38">
        <v>131</v>
      </c>
      <c r="E248" s="56">
        <f t="shared" si="10"/>
        <v>2.3816793893129771</v>
      </c>
      <c r="F248" s="48">
        <f t="shared" si="9"/>
        <v>9.9236641221374045E-2</v>
      </c>
    </row>
    <row r="249" spans="1:6" x14ac:dyDescent="0.25">
      <c r="A249" s="51">
        <v>45753.999305555553</v>
      </c>
      <c r="B249" s="38">
        <v>434.2</v>
      </c>
      <c r="C249" s="38">
        <v>120</v>
      </c>
      <c r="D249" s="38">
        <v>131</v>
      </c>
      <c r="E249" s="56">
        <f t="shared" si="10"/>
        <v>3.3145038167938932</v>
      </c>
      <c r="F249" s="48">
        <f t="shared" si="9"/>
        <v>0.13810432569974554</v>
      </c>
    </row>
    <row r="250" spans="1:6" x14ac:dyDescent="0.25">
      <c r="A250" s="51">
        <v>45754.999305555553</v>
      </c>
      <c r="B250" s="38">
        <v>360.3</v>
      </c>
      <c r="C250" s="38">
        <v>120</v>
      </c>
      <c r="D250" s="38">
        <v>131</v>
      </c>
      <c r="E250" s="56">
        <f t="shared" si="10"/>
        <v>2.7503816793893132</v>
      </c>
      <c r="F250" s="48">
        <f t="shared" si="9"/>
        <v>0.11459923664122137</v>
      </c>
    </row>
    <row r="251" spans="1:6" x14ac:dyDescent="0.25">
      <c r="A251" s="51">
        <v>45755.999305555553</v>
      </c>
      <c r="B251" s="38">
        <v>433</v>
      </c>
      <c r="C251" s="38">
        <v>120</v>
      </c>
      <c r="D251" s="38">
        <v>131</v>
      </c>
      <c r="E251" s="56">
        <f t="shared" si="10"/>
        <v>3.3053435114503817</v>
      </c>
      <c r="F251" s="48">
        <f t="shared" si="9"/>
        <v>0.13772264631043257</v>
      </c>
    </row>
    <row r="252" spans="1:6" x14ac:dyDescent="0.25">
      <c r="A252" s="51">
        <v>45756.999305555553</v>
      </c>
      <c r="B252" s="38">
        <v>511.1</v>
      </c>
      <c r="C252" s="38">
        <v>120</v>
      </c>
      <c r="D252" s="38">
        <v>131</v>
      </c>
      <c r="E252" s="56">
        <f t="shared" si="10"/>
        <v>3.9015267175572519</v>
      </c>
      <c r="F252" s="48">
        <f t="shared" si="9"/>
        <v>0.16256361323155216</v>
      </c>
    </row>
    <row r="253" spans="1:6" x14ac:dyDescent="0.25">
      <c r="A253" s="51">
        <v>45757.999305555553</v>
      </c>
      <c r="B253" s="38">
        <v>425.6</v>
      </c>
      <c r="C253" s="38">
        <v>120</v>
      </c>
      <c r="D253" s="38">
        <v>131</v>
      </c>
      <c r="E253" s="56">
        <f t="shared" si="10"/>
        <v>3.2488549618320612</v>
      </c>
      <c r="F253" s="48">
        <f t="shared" si="9"/>
        <v>0.13536895674300256</v>
      </c>
    </row>
    <row r="254" spans="1:6" x14ac:dyDescent="0.25">
      <c r="A254" s="51">
        <v>45758.999305555553</v>
      </c>
      <c r="B254" s="38">
        <v>493.6</v>
      </c>
      <c r="C254" s="38">
        <v>120</v>
      </c>
      <c r="D254" s="38">
        <v>131</v>
      </c>
      <c r="E254" s="56">
        <f t="shared" si="10"/>
        <v>3.7679389312977101</v>
      </c>
      <c r="F254" s="48">
        <f t="shared" si="9"/>
        <v>0.15699745547073793</v>
      </c>
    </row>
    <row r="255" spans="1:6" x14ac:dyDescent="0.25">
      <c r="A255" s="51">
        <v>45759.999305555553</v>
      </c>
      <c r="B255" s="38">
        <v>480.6</v>
      </c>
      <c r="C255" s="38">
        <v>120</v>
      </c>
      <c r="D255" s="38">
        <v>131</v>
      </c>
      <c r="E255" s="56">
        <f t="shared" si="10"/>
        <v>3.668702290076336</v>
      </c>
      <c r="F255" s="48">
        <f t="shared" si="9"/>
        <v>0.15286259541984734</v>
      </c>
    </row>
    <row r="256" spans="1:6" x14ac:dyDescent="0.25">
      <c r="A256" s="51">
        <v>45760.999305555553</v>
      </c>
      <c r="B256" s="38">
        <v>495</v>
      </c>
      <c r="C256" s="38">
        <v>120</v>
      </c>
      <c r="D256" s="38">
        <v>131</v>
      </c>
      <c r="E256" s="56">
        <f t="shared" si="10"/>
        <v>3.7786259541984735</v>
      </c>
      <c r="F256" s="48">
        <f t="shared" si="9"/>
        <v>0.15744274809160305</v>
      </c>
    </row>
    <row r="257" spans="1:6" x14ac:dyDescent="0.25">
      <c r="A257" s="51">
        <v>45761.999305555553</v>
      </c>
      <c r="B257" s="38">
        <v>261.60000000000002</v>
      </c>
      <c r="C257" s="38">
        <v>120</v>
      </c>
      <c r="D257" s="38">
        <v>131</v>
      </c>
      <c r="E257" s="56">
        <f t="shared" si="10"/>
        <v>1.9969465648854963</v>
      </c>
      <c r="F257" s="48">
        <f t="shared" si="9"/>
        <v>8.3206106870229016E-2</v>
      </c>
    </row>
    <row r="258" spans="1:6" x14ac:dyDescent="0.25">
      <c r="A258" s="51">
        <v>45762.999305555553</v>
      </c>
      <c r="B258" s="38">
        <v>429</v>
      </c>
      <c r="C258" s="38">
        <v>120</v>
      </c>
      <c r="D258" s="38">
        <v>131</v>
      </c>
      <c r="E258" s="56">
        <f t="shared" si="10"/>
        <v>3.2748091603053435</v>
      </c>
      <c r="F258" s="48">
        <f t="shared" si="9"/>
        <v>0.1364503816793893</v>
      </c>
    </row>
    <row r="259" spans="1:6" x14ac:dyDescent="0.25">
      <c r="A259" s="51">
        <v>45763.999305555553</v>
      </c>
      <c r="B259" s="38">
        <v>97.1</v>
      </c>
      <c r="C259" s="38">
        <v>120</v>
      </c>
      <c r="D259" s="38">
        <v>131</v>
      </c>
      <c r="E259" s="56">
        <f t="shared" si="10"/>
        <v>0.74122137404580146</v>
      </c>
      <c r="F259" s="48">
        <f t="shared" si="9"/>
        <v>3.0884223918575062E-2</v>
      </c>
    </row>
    <row r="260" spans="1:6" x14ac:dyDescent="0.25">
      <c r="A260" s="51">
        <v>45764.999305555553</v>
      </c>
      <c r="B260" s="38">
        <v>417.1</v>
      </c>
      <c r="C260" s="38">
        <v>120</v>
      </c>
      <c r="D260" s="38">
        <v>131</v>
      </c>
      <c r="E260" s="56">
        <f t="shared" si="10"/>
        <v>3.1839694656488553</v>
      </c>
      <c r="F260" s="48">
        <f t="shared" ref="F260:F323" si="11">B260/(24*D260)</f>
        <v>0.13266539440203562</v>
      </c>
    </row>
    <row r="261" spans="1:6" x14ac:dyDescent="0.25">
      <c r="A261" s="51">
        <v>45765.999305555553</v>
      </c>
      <c r="B261" s="38">
        <v>352.7</v>
      </c>
      <c r="C261" s="38">
        <v>120</v>
      </c>
      <c r="D261" s="38">
        <v>131</v>
      </c>
      <c r="E261" s="56">
        <f t="shared" si="10"/>
        <v>2.6923664122137403</v>
      </c>
      <c r="F261" s="48">
        <f t="shared" si="11"/>
        <v>0.11218193384223918</v>
      </c>
    </row>
    <row r="262" spans="1:6" x14ac:dyDescent="0.25">
      <c r="A262" s="51">
        <v>45766.999305555553</v>
      </c>
      <c r="B262" s="38">
        <v>341.5</v>
      </c>
      <c r="C262" s="38">
        <v>120</v>
      </c>
      <c r="D262" s="38">
        <v>131</v>
      </c>
      <c r="E262" s="56">
        <f t="shared" si="10"/>
        <v>2.6068702290076335</v>
      </c>
      <c r="F262" s="48">
        <f t="shared" si="11"/>
        <v>0.10861959287531807</v>
      </c>
    </row>
    <row r="263" spans="1:6" x14ac:dyDescent="0.25">
      <c r="A263" s="51">
        <v>45767.999305555553</v>
      </c>
      <c r="B263" s="38">
        <v>433.6</v>
      </c>
      <c r="C263" s="38">
        <v>120</v>
      </c>
      <c r="D263" s="38">
        <v>131</v>
      </c>
      <c r="E263" s="56">
        <f t="shared" si="10"/>
        <v>3.3099236641221377</v>
      </c>
      <c r="F263" s="48">
        <f t="shared" si="11"/>
        <v>0.13791348600508907</v>
      </c>
    </row>
    <row r="264" spans="1:6" x14ac:dyDescent="0.25">
      <c r="A264" s="51">
        <v>45768.999305555553</v>
      </c>
      <c r="B264" s="38">
        <v>422.4</v>
      </c>
      <c r="C264" s="38">
        <v>120</v>
      </c>
      <c r="D264" s="38">
        <v>131</v>
      </c>
      <c r="E264" s="56">
        <f t="shared" si="10"/>
        <v>3.2244274809160305</v>
      </c>
      <c r="F264" s="48">
        <f t="shared" si="11"/>
        <v>0.13435114503816792</v>
      </c>
    </row>
    <row r="265" spans="1:6" x14ac:dyDescent="0.25">
      <c r="A265" s="51">
        <v>45769.999305555553</v>
      </c>
      <c r="B265" s="38">
        <v>245.5</v>
      </c>
      <c r="C265" s="38">
        <v>120</v>
      </c>
      <c r="D265" s="38">
        <v>131</v>
      </c>
      <c r="E265" s="56">
        <f t="shared" si="10"/>
        <v>1.8740458015267176</v>
      </c>
      <c r="F265" s="48">
        <f t="shared" si="11"/>
        <v>7.8085241730279892E-2</v>
      </c>
    </row>
    <row r="266" spans="1:6" x14ac:dyDescent="0.25">
      <c r="A266" s="51">
        <v>45770.999305555553</v>
      </c>
      <c r="B266" s="38">
        <v>265.60000000000002</v>
      </c>
      <c r="C266" s="38">
        <v>120</v>
      </c>
      <c r="D266" s="38">
        <v>131</v>
      </c>
      <c r="E266" s="56">
        <f t="shared" si="10"/>
        <v>2.0274809160305347</v>
      </c>
      <c r="F266" s="48">
        <f t="shared" si="11"/>
        <v>8.447837150127227E-2</v>
      </c>
    </row>
    <row r="267" spans="1:6" x14ac:dyDescent="0.25">
      <c r="A267" s="51">
        <v>45771.999305555553</v>
      </c>
      <c r="B267" s="38">
        <v>342.7</v>
      </c>
      <c r="C267" s="38">
        <v>120</v>
      </c>
      <c r="D267" s="38">
        <v>131</v>
      </c>
      <c r="E267" s="56">
        <f t="shared" si="10"/>
        <v>2.616030534351145</v>
      </c>
      <c r="F267" s="48">
        <f t="shared" si="11"/>
        <v>0.10900127226463104</v>
      </c>
    </row>
    <row r="268" spans="1:6" x14ac:dyDescent="0.25">
      <c r="A268" s="51">
        <v>45772.999305555553</v>
      </c>
      <c r="B268" s="38">
        <v>288.3</v>
      </c>
      <c r="C268" s="38">
        <v>120</v>
      </c>
      <c r="D268" s="38">
        <v>131</v>
      </c>
      <c r="E268" s="56">
        <f t="shared" si="10"/>
        <v>2.2007633587786262</v>
      </c>
      <c r="F268" s="48">
        <f t="shared" si="11"/>
        <v>9.1698473282442752E-2</v>
      </c>
    </row>
    <row r="269" spans="1:6" x14ac:dyDescent="0.25">
      <c r="A269" s="51">
        <v>45773.999305555553</v>
      </c>
      <c r="B269" s="38">
        <v>448.9</v>
      </c>
      <c r="C269" s="38">
        <v>120</v>
      </c>
      <c r="D269" s="38">
        <v>131</v>
      </c>
      <c r="E269" s="56">
        <f t="shared" si="10"/>
        <v>3.4267175572519082</v>
      </c>
      <c r="F269" s="48">
        <f t="shared" si="11"/>
        <v>0.1427798982188295</v>
      </c>
    </row>
    <row r="270" spans="1:6" x14ac:dyDescent="0.25">
      <c r="A270" s="51">
        <v>45774.999305555553</v>
      </c>
      <c r="B270" s="38">
        <v>385.3</v>
      </c>
      <c r="C270" s="38">
        <v>120</v>
      </c>
      <c r="D270" s="38">
        <v>131</v>
      </c>
      <c r="E270" s="56">
        <f t="shared" si="10"/>
        <v>2.9412213740458015</v>
      </c>
      <c r="F270" s="48">
        <f t="shared" si="11"/>
        <v>0.12255089058524174</v>
      </c>
    </row>
    <row r="271" spans="1:6" x14ac:dyDescent="0.25">
      <c r="A271" s="51">
        <v>45775.999305555553</v>
      </c>
      <c r="B271" s="38">
        <v>331.7</v>
      </c>
      <c r="C271" s="38">
        <v>120</v>
      </c>
      <c r="D271" s="38">
        <v>131</v>
      </c>
      <c r="E271" s="56">
        <f t="shared" si="10"/>
        <v>2.5320610687022902</v>
      </c>
      <c r="F271" s="48">
        <f t="shared" si="11"/>
        <v>0.10550254452926208</v>
      </c>
    </row>
    <row r="272" spans="1:6" x14ac:dyDescent="0.25">
      <c r="A272" s="51">
        <v>45776.999305555553</v>
      </c>
      <c r="B272" s="38">
        <v>349.7</v>
      </c>
      <c r="C272" s="38">
        <v>120</v>
      </c>
      <c r="D272" s="38">
        <v>131</v>
      </c>
      <c r="E272" s="56">
        <f t="shared" si="10"/>
        <v>2.669465648854962</v>
      </c>
      <c r="F272" s="48">
        <f t="shared" si="11"/>
        <v>0.11122773536895673</v>
      </c>
    </row>
    <row r="273" spans="1:6" x14ac:dyDescent="0.25">
      <c r="A273" s="51">
        <v>45777.999305555553</v>
      </c>
      <c r="B273" s="38">
        <v>307.7</v>
      </c>
      <c r="C273" s="38">
        <v>120</v>
      </c>
      <c r="D273" s="38">
        <v>131</v>
      </c>
      <c r="E273" s="56">
        <f t="shared" si="10"/>
        <v>2.3488549618320609</v>
      </c>
      <c r="F273" s="48">
        <f t="shared" si="11"/>
        <v>9.7868956743002541E-2</v>
      </c>
    </row>
    <row r="274" spans="1:6" x14ac:dyDescent="0.25">
      <c r="A274" s="51">
        <v>45778.999305555553</v>
      </c>
      <c r="B274" s="38">
        <v>336.3</v>
      </c>
      <c r="C274" s="38">
        <v>120</v>
      </c>
      <c r="D274" s="38">
        <v>131</v>
      </c>
      <c r="E274" s="56">
        <f>B274/D274</f>
        <v>2.5671755725190839</v>
      </c>
      <c r="F274" s="48">
        <f t="shared" si="11"/>
        <v>0.10696564885496183</v>
      </c>
    </row>
    <row r="275" spans="1:6" x14ac:dyDescent="0.25">
      <c r="A275" s="51">
        <v>45779.999305555553</v>
      </c>
      <c r="B275" s="38">
        <v>440.2</v>
      </c>
      <c r="C275" s="38">
        <v>120</v>
      </c>
      <c r="D275" s="38">
        <v>131</v>
      </c>
      <c r="E275" s="56">
        <f t="shared" ref="E275:E304" si="12">B275/D275</f>
        <v>3.3603053435114503</v>
      </c>
      <c r="F275" s="48">
        <f t="shared" si="11"/>
        <v>0.14001272264631043</v>
      </c>
    </row>
    <row r="276" spans="1:6" x14ac:dyDescent="0.25">
      <c r="A276" s="51">
        <v>45780.999305555553</v>
      </c>
      <c r="B276" s="38">
        <v>362.2</v>
      </c>
      <c r="C276" s="38">
        <v>120</v>
      </c>
      <c r="D276" s="38">
        <v>131</v>
      </c>
      <c r="E276" s="56">
        <f t="shared" si="12"/>
        <v>2.7648854961832061</v>
      </c>
      <c r="F276" s="48">
        <f t="shared" si="11"/>
        <v>0.11520356234096692</v>
      </c>
    </row>
    <row r="277" spans="1:6" x14ac:dyDescent="0.25">
      <c r="A277" s="51">
        <v>45781.999305555553</v>
      </c>
      <c r="B277" s="38">
        <v>352.7</v>
      </c>
      <c r="C277" s="38">
        <v>120</v>
      </c>
      <c r="D277" s="38">
        <v>131</v>
      </c>
      <c r="E277" s="56">
        <f t="shared" si="12"/>
        <v>2.6923664122137403</v>
      </c>
      <c r="F277" s="48">
        <f t="shared" si="11"/>
        <v>0.11218193384223918</v>
      </c>
    </row>
    <row r="278" spans="1:6" x14ac:dyDescent="0.25">
      <c r="A278" s="51">
        <v>45782.999305555553</v>
      </c>
      <c r="B278" s="38">
        <v>314.8</v>
      </c>
      <c r="C278" s="38">
        <v>120</v>
      </c>
      <c r="D278" s="38">
        <v>131</v>
      </c>
      <c r="E278" s="56">
        <f t="shared" si="12"/>
        <v>2.4030534351145039</v>
      </c>
      <c r="F278" s="48">
        <f t="shared" si="11"/>
        <v>0.10012722646310433</v>
      </c>
    </row>
    <row r="279" spans="1:6" x14ac:dyDescent="0.25">
      <c r="A279" s="51">
        <v>45783.999305555553</v>
      </c>
      <c r="B279" s="38">
        <v>370.1</v>
      </c>
      <c r="C279" s="38">
        <v>120</v>
      </c>
      <c r="D279" s="38">
        <v>131</v>
      </c>
      <c r="E279" s="56">
        <f t="shared" si="12"/>
        <v>2.8251908396946566</v>
      </c>
      <c r="F279" s="48">
        <f t="shared" si="11"/>
        <v>0.11771628498727736</v>
      </c>
    </row>
    <row r="280" spans="1:6" x14ac:dyDescent="0.25">
      <c r="A280" s="51">
        <v>45784.999305555553</v>
      </c>
      <c r="B280" s="38">
        <v>428</v>
      </c>
      <c r="C280" s="38">
        <v>120</v>
      </c>
      <c r="D280" s="38">
        <v>131</v>
      </c>
      <c r="E280" s="56">
        <f t="shared" si="12"/>
        <v>3.2671755725190841</v>
      </c>
      <c r="F280" s="48">
        <f t="shared" si="11"/>
        <v>0.13613231552162849</v>
      </c>
    </row>
    <row r="281" spans="1:6" x14ac:dyDescent="0.25">
      <c r="A281" s="51">
        <v>45785.999305555553</v>
      </c>
      <c r="B281" s="38">
        <v>393</v>
      </c>
      <c r="C281" s="38">
        <v>120</v>
      </c>
      <c r="D281" s="38">
        <v>131</v>
      </c>
      <c r="E281" s="56">
        <f t="shared" si="12"/>
        <v>3</v>
      </c>
      <c r="F281" s="48">
        <f t="shared" si="11"/>
        <v>0.125</v>
      </c>
    </row>
    <row r="282" spans="1:6" x14ac:dyDescent="0.25">
      <c r="A282" s="51">
        <v>45786.999305555553</v>
      </c>
      <c r="B282" s="38">
        <v>240</v>
      </c>
      <c r="C282" s="38">
        <v>120</v>
      </c>
      <c r="D282" s="38">
        <v>131</v>
      </c>
      <c r="E282" s="56">
        <f t="shared" si="12"/>
        <v>1.83206106870229</v>
      </c>
      <c r="F282" s="48">
        <f t="shared" si="11"/>
        <v>7.6335877862595422E-2</v>
      </c>
    </row>
    <row r="283" spans="1:6" x14ac:dyDescent="0.25">
      <c r="A283" s="51">
        <v>45787.999305555553</v>
      </c>
      <c r="B283" s="38">
        <v>415.2</v>
      </c>
      <c r="C283" s="38">
        <v>120</v>
      </c>
      <c r="D283" s="38">
        <v>131</v>
      </c>
      <c r="E283" s="56">
        <f t="shared" si="12"/>
        <v>3.169465648854962</v>
      </c>
      <c r="F283" s="48">
        <f t="shared" si="11"/>
        <v>0.13206106870229006</v>
      </c>
    </row>
    <row r="284" spans="1:6" x14ac:dyDescent="0.25">
      <c r="A284" s="51">
        <v>45788.999305555553</v>
      </c>
      <c r="B284" s="38">
        <v>439.6</v>
      </c>
      <c r="C284" s="38">
        <v>120</v>
      </c>
      <c r="D284" s="38">
        <v>131</v>
      </c>
      <c r="E284" s="56">
        <f t="shared" si="12"/>
        <v>3.3557251908396948</v>
      </c>
      <c r="F284" s="48">
        <f t="shared" si="11"/>
        <v>0.13982188295165396</v>
      </c>
    </row>
    <row r="285" spans="1:6" x14ac:dyDescent="0.25">
      <c r="A285" s="51">
        <v>45789.999305555553</v>
      </c>
      <c r="B285" s="38">
        <v>338.6</v>
      </c>
      <c r="C285" s="38">
        <v>120</v>
      </c>
      <c r="D285" s="38">
        <v>131</v>
      </c>
      <c r="E285" s="56">
        <f t="shared" si="12"/>
        <v>2.5847328244274812</v>
      </c>
      <c r="F285" s="48">
        <f t="shared" si="11"/>
        <v>0.10769720101781172</v>
      </c>
    </row>
    <row r="286" spans="1:6" x14ac:dyDescent="0.25">
      <c r="A286" s="51">
        <v>45790.999305555553</v>
      </c>
      <c r="B286" s="38">
        <v>264.5</v>
      </c>
      <c r="C286" s="38">
        <v>120</v>
      </c>
      <c r="D286" s="38">
        <v>131</v>
      </c>
      <c r="E286" s="56">
        <f t="shared" si="12"/>
        <v>2.0190839694656488</v>
      </c>
      <c r="F286" s="48">
        <f t="shared" si="11"/>
        <v>8.4128498727735368E-2</v>
      </c>
    </row>
    <row r="287" spans="1:6" x14ac:dyDescent="0.25">
      <c r="A287" s="51">
        <v>45791.999305555553</v>
      </c>
      <c r="B287" s="38">
        <v>333.2</v>
      </c>
      <c r="C287" s="38">
        <v>120</v>
      </c>
      <c r="D287" s="38">
        <v>131</v>
      </c>
      <c r="E287" s="56">
        <f t="shared" si="12"/>
        <v>2.5435114503816791</v>
      </c>
      <c r="F287" s="48">
        <f t="shared" si="11"/>
        <v>0.1059796437659033</v>
      </c>
    </row>
    <row r="288" spans="1:6" x14ac:dyDescent="0.25">
      <c r="A288" s="51">
        <v>45792.999305555553</v>
      </c>
      <c r="B288" s="38">
        <v>266.8</v>
      </c>
      <c r="C288" s="38">
        <v>120</v>
      </c>
      <c r="D288" s="38">
        <v>131</v>
      </c>
      <c r="E288" s="56">
        <f t="shared" si="12"/>
        <v>2.0366412213740457</v>
      </c>
      <c r="F288" s="48">
        <f t="shared" si="11"/>
        <v>8.4860050890585251E-2</v>
      </c>
    </row>
    <row r="289" spans="1:6" x14ac:dyDescent="0.25">
      <c r="A289" s="51">
        <v>45793.999305555553</v>
      </c>
      <c r="B289" s="38">
        <v>325.2</v>
      </c>
      <c r="C289" s="38">
        <v>120</v>
      </c>
      <c r="D289" s="38">
        <v>131</v>
      </c>
      <c r="E289" s="56">
        <f t="shared" si="12"/>
        <v>2.4824427480916031</v>
      </c>
      <c r="F289" s="48">
        <f t="shared" si="11"/>
        <v>0.10343511450381679</v>
      </c>
    </row>
    <row r="290" spans="1:6" x14ac:dyDescent="0.25">
      <c r="A290" s="51">
        <v>45794.999305555553</v>
      </c>
      <c r="B290" s="38">
        <v>420</v>
      </c>
      <c r="C290" s="38">
        <v>120</v>
      </c>
      <c r="D290" s="38">
        <v>131</v>
      </c>
      <c r="E290" s="56">
        <f t="shared" si="12"/>
        <v>3.2061068702290076</v>
      </c>
      <c r="F290" s="48">
        <f t="shared" si="11"/>
        <v>0.13358778625954199</v>
      </c>
    </row>
    <row r="291" spans="1:6" x14ac:dyDescent="0.25">
      <c r="A291" s="51">
        <v>45795.999305555553</v>
      </c>
      <c r="B291" s="38">
        <v>394.8</v>
      </c>
      <c r="C291" s="38">
        <v>120</v>
      </c>
      <c r="D291" s="38">
        <v>131</v>
      </c>
      <c r="E291" s="56">
        <f t="shared" si="12"/>
        <v>3.0137404580152674</v>
      </c>
      <c r="F291" s="48">
        <f t="shared" si="11"/>
        <v>0.12557251908396946</v>
      </c>
    </row>
    <row r="292" spans="1:6" x14ac:dyDescent="0.25">
      <c r="A292" s="51">
        <v>45796.999305555553</v>
      </c>
      <c r="B292" s="38">
        <v>415.6</v>
      </c>
      <c r="C292" s="38">
        <v>120</v>
      </c>
      <c r="D292" s="38">
        <v>131</v>
      </c>
      <c r="E292" s="56">
        <f t="shared" si="12"/>
        <v>3.1725190839694659</v>
      </c>
      <c r="F292" s="48">
        <f t="shared" si="11"/>
        <v>0.1321882951653944</v>
      </c>
    </row>
    <row r="293" spans="1:6" x14ac:dyDescent="0.25">
      <c r="A293" s="51">
        <v>45797.999305555553</v>
      </c>
      <c r="B293" s="38">
        <v>423.9</v>
      </c>
      <c r="C293" s="38">
        <v>120</v>
      </c>
      <c r="D293" s="38">
        <v>131</v>
      </c>
      <c r="E293" s="56">
        <f t="shared" si="12"/>
        <v>3.2358778625954199</v>
      </c>
      <c r="F293" s="48">
        <f t="shared" si="11"/>
        <v>0.13482824427480916</v>
      </c>
    </row>
    <row r="294" spans="1:6" x14ac:dyDescent="0.25">
      <c r="A294" s="51">
        <v>45798.999305555553</v>
      </c>
      <c r="B294" s="38">
        <v>448.3</v>
      </c>
      <c r="C294" s="38">
        <v>120</v>
      </c>
      <c r="D294" s="38">
        <v>131</v>
      </c>
      <c r="E294" s="56">
        <f t="shared" si="12"/>
        <v>3.4221374045801527</v>
      </c>
      <c r="F294" s="48">
        <f t="shared" si="11"/>
        <v>0.14258905852417303</v>
      </c>
    </row>
    <row r="295" spans="1:6" x14ac:dyDescent="0.25">
      <c r="A295" s="51">
        <v>45799.999305555553</v>
      </c>
      <c r="B295" s="38">
        <v>321.8</v>
      </c>
      <c r="C295" s="38">
        <v>120</v>
      </c>
      <c r="D295" s="38">
        <v>131</v>
      </c>
      <c r="E295" s="56">
        <f t="shared" si="12"/>
        <v>2.4564885496183209</v>
      </c>
      <c r="F295" s="48">
        <f t="shared" si="11"/>
        <v>0.10235368956743003</v>
      </c>
    </row>
    <row r="296" spans="1:6" x14ac:dyDescent="0.25">
      <c r="A296" s="51">
        <v>45800.999305555553</v>
      </c>
      <c r="B296" s="38">
        <v>429.4</v>
      </c>
      <c r="C296" s="38">
        <v>120</v>
      </c>
      <c r="D296" s="38">
        <v>131</v>
      </c>
      <c r="E296" s="56">
        <f t="shared" si="12"/>
        <v>3.277862595419847</v>
      </c>
      <c r="F296" s="48">
        <f t="shared" si="11"/>
        <v>0.13657760814249365</v>
      </c>
    </row>
    <row r="297" spans="1:6" x14ac:dyDescent="0.25">
      <c r="A297" s="51">
        <v>45801.999305555553</v>
      </c>
      <c r="B297" s="38">
        <v>434.2</v>
      </c>
      <c r="C297" s="38">
        <v>120</v>
      </c>
      <c r="D297" s="38">
        <v>131</v>
      </c>
      <c r="E297" s="56">
        <f>B297/D297</f>
        <v>3.3145038167938932</v>
      </c>
      <c r="F297" s="48">
        <f t="shared" si="11"/>
        <v>0.13810432569974554</v>
      </c>
    </row>
    <row r="298" spans="1:6" x14ac:dyDescent="0.25">
      <c r="A298" s="51">
        <v>45802.999305555553</v>
      </c>
      <c r="B298" s="38">
        <v>382.1</v>
      </c>
      <c r="C298" s="38">
        <v>120</v>
      </c>
      <c r="D298" s="38">
        <v>131</v>
      </c>
      <c r="E298" s="56">
        <f>B298/D298</f>
        <v>2.9167938931297712</v>
      </c>
      <c r="F298" s="48">
        <f t="shared" si="11"/>
        <v>0.12153307888040714</v>
      </c>
    </row>
    <row r="299" spans="1:6" x14ac:dyDescent="0.25">
      <c r="A299" s="51">
        <v>45803.999305555553</v>
      </c>
      <c r="B299" s="38">
        <v>431.2</v>
      </c>
      <c r="C299" s="38">
        <v>120</v>
      </c>
      <c r="D299" s="38">
        <v>131</v>
      </c>
      <c r="E299" s="56">
        <f t="shared" si="12"/>
        <v>3.2916030534351144</v>
      </c>
      <c r="F299" s="48">
        <f t="shared" si="11"/>
        <v>0.13715012722646311</v>
      </c>
    </row>
    <row r="300" spans="1:6" x14ac:dyDescent="0.25">
      <c r="A300" s="51">
        <v>45804.999305555553</v>
      </c>
      <c r="B300" s="38">
        <v>288.39999999999998</v>
      </c>
      <c r="C300" s="38">
        <v>120</v>
      </c>
      <c r="D300" s="38">
        <v>131</v>
      </c>
      <c r="E300" s="56">
        <f t="shared" si="12"/>
        <v>2.2015267175572517</v>
      </c>
      <c r="F300" s="48">
        <f t="shared" si="11"/>
        <v>9.1730279898218817E-2</v>
      </c>
    </row>
    <row r="301" spans="1:6" x14ac:dyDescent="0.25">
      <c r="A301" s="51">
        <v>45805.999305555553</v>
      </c>
      <c r="B301" s="38">
        <v>319.10000000000002</v>
      </c>
      <c r="C301" s="38">
        <v>120</v>
      </c>
      <c r="D301" s="38">
        <v>131</v>
      </c>
      <c r="E301" s="56">
        <f t="shared" si="12"/>
        <v>2.4358778625954201</v>
      </c>
      <c r="F301" s="48">
        <f t="shared" si="11"/>
        <v>0.10149491094147584</v>
      </c>
    </row>
    <row r="302" spans="1:6" x14ac:dyDescent="0.25">
      <c r="A302" s="51">
        <v>45806.999305555553</v>
      </c>
      <c r="B302" s="38">
        <v>307.10000000000002</v>
      </c>
      <c r="C302" s="38">
        <v>120</v>
      </c>
      <c r="D302" s="38">
        <v>131</v>
      </c>
      <c r="E302" s="56">
        <f t="shared" si="12"/>
        <v>2.3442748091603054</v>
      </c>
      <c r="F302" s="48">
        <f t="shared" si="11"/>
        <v>9.7678117048346058E-2</v>
      </c>
    </row>
    <row r="303" spans="1:6" x14ac:dyDescent="0.25">
      <c r="A303" s="51">
        <v>45807.999305555553</v>
      </c>
      <c r="B303" s="38">
        <v>295</v>
      </c>
      <c r="C303" s="38">
        <v>120</v>
      </c>
      <c r="D303" s="38">
        <v>131</v>
      </c>
      <c r="E303" s="56">
        <f t="shared" si="12"/>
        <v>2.2519083969465647</v>
      </c>
      <c r="F303" s="48">
        <f t="shared" si="11"/>
        <v>9.3829516539440203E-2</v>
      </c>
    </row>
    <row r="304" spans="1:6" x14ac:dyDescent="0.25">
      <c r="A304" s="51">
        <v>45808.999305555553</v>
      </c>
      <c r="B304" s="38">
        <v>376.5</v>
      </c>
      <c r="C304" s="38">
        <v>120</v>
      </c>
      <c r="D304" s="38">
        <v>131</v>
      </c>
      <c r="E304" s="56">
        <f t="shared" si="12"/>
        <v>2.8740458015267176</v>
      </c>
      <c r="F304" s="48">
        <f t="shared" si="11"/>
        <v>0.11975190839694656</v>
      </c>
    </row>
    <row r="305" spans="1:6" x14ac:dyDescent="0.25">
      <c r="A305" s="51">
        <v>45809.999305555553</v>
      </c>
      <c r="B305" s="38">
        <v>397.1</v>
      </c>
      <c r="C305" s="38">
        <v>120</v>
      </c>
      <c r="D305" s="38">
        <v>131</v>
      </c>
      <c r="E305" s="56">
        <f>B305/D305</f>
        <v>3.0312977099236642</v>
      </c>
      <c r="F305" s="48">
        <f>B305/(24*D305)</f>
        <v>0.12630407124681933</v>
      </c>
    </row>
    <row r="306" spans="1:6" x14ac:dyDescent="0.25">
      <c r="A306" s="51">
        <v>45810.999305555553</v>
      </c>
      <c r="B306" s="38">
        <v>298.2</v>
      </c>
      <c r="C306" s="38">
        <v>120</v>
      </c>
      <c r="D306" s="38">
        <v>131</v>
      </c>
      <c r="E306" s="56">
        <f>B306/D306</f>
        <v>2.2763358778625955</v>
      </c>
      <c r="F306" s="48">
        <f>B306/(24*D306)</f>
        <v>9.4847328244274803E-2</v>
      </c>
    </row>
    <row r="307" spans="1:6" x14ac:dyDescent="0.25">
      <c r="A307" s="51">
        <v>45811.999305555553</v>
      </c>
      <c r="B307" s="38">
        <v>356.2</v>
      </c>
      <c r="C307" s="38">
        <v>120</v>
      </c>
      <c r="D307" s="38">
        <v>131</v>
      </c>
      <c r="E307" s="56">
        <f t="shared" ref="E307:E370" si="13">B307/D307</f>
        <v>2.7190839694656486</v>
      </c>
      <c r="F307" s="48">
        <f>B307/(24*D307)</f>
        <v>0.11329516539440203</v>
      </c>
    </row>
    <row r="308" spans="1:6" x14ac:dyDescent="0.25">
      <c r="A308" s="51">
        <v>45812.999305555553</v>
      </c>
      <c r="B308" s="38">
        <v>14.9</v>
      </c>
      <c r="C308" s="38">
        <v>120</v>
      </c>
      <c r="D308" s="38">
        <v>131</v>
      </c>
      <c r="E308" s="56">
        <f>B308/D308</f>
        <v>0.11374045801526718</v>
      </c>
      <c r="F308" s="48">
        <f>B308/(24*D308)</f>
        <v>4.7391857506361322E-3</v>
      </c>
    </row>
    <row r="309" spans="1:6" x14ac:dyDescent="0.25">
      <c r="A309" s="51">
        <v>45813.999305555553</v>
      </c>
      <c r="B309" s="38">
        <v>14.9</v>
      </c>
      <c r="C309" s="38">
        <v>120</v>
      </c>
      <c r="D309" s="38">
        <v>131</v>
      </c>
      <c r="E309" s="56">
        <f t="shared" si="13"/>
        <v>0.11374045801526718</v>
      </c>
      <c r="F309" s="48">
        <f>B309/(24*D309)</f>
        <v>4.7391857506361322E-3</v>
      </c>
    </row>
    <row r="310" spans="1:6" x14ac:dyDescent="0.25">
      <c r="A310" s="51">
        <v>45814.999305555553</v>
      </c>
      <c r="B310" s="38">
        <v>14.9</v>
      </c>
      <c r="C310" s="38">
        <v>120</v>
      </c>
      <c r="D310" s="38">
        <v>131</v>
      </c>
      <c r="E310" s="56">
        <f>B310/D310</f>
        <v>0.11374045801526718</v>
      </c>
      <c r="F310" s="48">
        <f t="shared" si="11"/>
        <v>4.7391857506361322E-3</v>
      </c>
    </row>
    <row r="311" spans="1:6" x14ac:dyDescent="0.25">
      <c r="A311" s="51">
        <v>45815.999305555553</v>
      </c>
      <c r="B311" s="38">
        <v>14.9</v>
      </c>
      <c r="C311" s="38">
        <v>120</v>
      </c>
      <c r="D311" s="38">
        <v>131</v>
      </c>
      <c r="E311" s="56">
        <f t="shared" si="13"/>
        <v>0.11374045801526718</v>
      </c>
      <c r="F311" s="48">
        <f t="shared" si="11"/>
        <v>4.7391857506361322E-3</v>
      </c>
    </row>
    <row r="312" spans="1:6" x14ac:dyDescent="0.25">
      <c r="A312" s="51">
        <v>45816.999305555553</v>
      </c>
      <c r="B312" s="38">
        <v>14.9</v>
      </c>
      <c r="C312" s="38">
        <v>120</v>
      </c>
      <c r="D312" s="38">
        <v>131</v>
      </c>
      <c r="E312" s="56">
        <f>B312/D312</f>
        <v>0.11374045801526718</v>
      </c>
      <c r="F312" s="48">
        <f t="shared" si="11"/>
        <v>4.7391857506361322E-3</v>
      </c>
    </row>
    <row r="313" spans="1:6" x14ac:dyDescent="0.25">
      <c r="A313" s="51">
        <v>45817.999305555553</v>
      </c>
      <c r="B313" s="38">
        <v>14.9</v>
      </c>
      <c r="C313" s="38">
        <v>120</v>
      </c>
      <c r="D313" s="38">
        <v>131</v>
      </c>
      <c r="E313" s="56">
        <f t="shared" si="13"/>
        <v>0.11374045801526718</v>
      </c>
      <c r="F313" s="48">
        <f t="shared" si="11"/>
        <v>4.7391857506361322E-3</v>
      </c>
    </row>
    <row r="314" spans="1:6" x14ac:dyDescent="0.25">
      <c r="A314" s="51">
        <v>45818.999305555553</v>
      </c>
      <c r="B314" s="38">
        <v>14.9</v>
      </c>
      <c r="C314" s="38">
        <v>120</v>
      </c>
      <c r="D314" s="38">
        <v>131</v>
      </c>
      <c r="E314" s="56">
        <f t="shared" si="13"/>
        <v>0.11374045801526718</v>
      </c>
      <c r="F314" s="48">
        <f t="shared" si="11"/>
        <v>4.7391857506361322E-3</v>
      </c>
    </row>
    <row r="315" spans="1:6" x14ac:dyDescent="0.25">
      <c r="A315" s="51">
        <v>45819.999305555553</v>
      </c>
      <c r="B315" s="38">
        <v>14.9</v>
      </c>
      <c r="C315" s="38">
        <v>120</v>
      </c>
      <c r="D315" s="38">
        <v>131</v>
      </c>
      <c r="E315" s="56">
        <f t="shared" si="13"/>
        <v>0.11374045801526718</v>
      </c>
      <c r="F315" s="48">
        <f t="shared" si="11"/>
        <v>4.7391857506361322E-3</v>
      </c>
    </row>
    <row r="316" spans="1:6" x14ac:dyDescent="0.25">
      <c r="A316" s="51">
        <v>45820.999305555553</v>
      </c>
      <c r="B316" s="38">
        <v>14.9</v>
      </c>
      <c r="C316" s="38">
        <v>120</v>
      </c>
      <c r="D316" s="38">
        <v>131</v>
      </c>
      <c r="E316" s="56">
        <f t="shared" si="13"/>
        <v>0.11374045801526718</v>
      </c>
      <c r="F316" s="48">
        <f t="shared" si="11"/>
        <v>4.7391857506361322E-3</v>
      </c>
    </row>
    <row r="317" spans="1:6" x14ac:dyDescent="0.25">
      <c r="A317" s="51">
        <v>45821.999305555553</v>
      </c>
      <c r="B317" s="38">
        <v>14.9</v>
      </c>
      <c r="C317" s="38">
        <v>120</v>
      </c>
      <c r="D317" s="38">
        <v>131</v>
      </c>
      <c r="E317" s="56">
        <f t="shared" si="13"/>
        <v>0.11374045801526718</v>
      </c>
      <c r="F317" s="48">
        <f t="shared" si="11"/>
        <v>4.7391857506361322E-3</v>
      </c>
    </row>
    <row r="318" spans="1:6" x14ac:dyDescent="0.25">
      <c r="A318" s="51">
        <v>45822.999305555553</v>
      </c>
      <c r="B318" s="38">
        <v>14.9</v>
      </c>
      <c r="C318" s="38">
        <v>120</v>
      </c>
      <c r="D318" s="38">
        <v>131</v>
      </c>
      <c r="E318" s="56">
        <f t="shared" si="13"/>
        <v>0.11374045801526718</v>
      </c>
      <c r="F318" s="48">
        <f t="shared" si="11"/>
        <v>4.7391857506361322E-3</v>
      </c>
    </row>
    <row r="319" spans="1:6" x14ac:dyDescent="0.25">
      <c r="A319" s="51">
        <v>45823.999305555553</v>
      </c>
      <c r="B319" s="38">
        <v>14.9</v>
      </c>
      <c r="C319" s="38">
        <v>120</v>
      </c>
      <c r="D319" s="38">
        <v>131</v>
      </c>
      <c r="E319" s="56">
        <f t="shared" si="13"/>
        <v>0.11374045801526718</v>
      </c>
      <c r="F319" s="48">
        <f t="shared" si="11"/>
        <v>4.7391857506361322E-3</v>
      </c>
    </row>
    <row r="320" spans="1:6" x14ac:dyDescent="0.25">
      <c r="A320" s="51">
        <v>45824.999305555553</v>
      </c>
      <c r="B320" s="38">
        <v>14.9</v>
      </c>
      <c r="C320" s="38">
        <v>120</v>
      </c>
      <c r="D320" s="38">
        <v>131</v>
      </c>
      <c r="E320" s="56">
        <f t="shared" si="13"/>
        <v>0.11374045801526718</v>
      </c>
      <c r="F320" s="48">
        <f t="shared" si="11"/>
        <v>4.7391857506361322E-3</v>
      </c>
    </row>
    <row r="321" spans="1:6" x14ac:dyDescent="0.25">
      <c r="A321" s="51">
        <v>45825.999305555553</v>
      </c>
      <c r="B321" s="38">
        <v>14.9</v>
      </c>
      <c r="C321" s="38">
        <v>120</v>
      </c>
      <c r="D321" s="38">
        <v>131</v>
      </c>
      <c r="E321" s="56">
        <f t="shared" si="13"/>
        <v>0.11374045801526718</v>
      </c>
      <c r="F321" s="48">
        <f t="shared" si="11"/>
        <v>4.7391857506361322E-3</v>
      </c>
    </row>
    <row r="322" spans="1:6" x14ac:dyDescent="0.25">
      <c r="A322" s="51">
        <v>45826.999305555553</v>
      </c>
      <c r="B322" s="38">
        <v>14.9</v>
      </c>
      <c r="C322" s="38">
        <v>120</v>
      </c>
      <c r="D322" s="38">
        <v>131</v>
      </c>
      <c r="E322" s="56">
        <f t="shared" si="13"/>
        <v>0.11374045801526718</v>
      </c>
      <c r="F322" s="48">
        <f t="shared" si="11"/>
        <v>4.7391857506361322E-3</v>
      </c>
    </row>
    <row r="323" spans="1:6" x14ac:dyDescent="0.25">
      <c r="A323" s="51">
        <v>45827.999305555553</v>
      </c>
      <c r="B323" s="38">
        <v>14.9</v>
      </c>
      <c r="C323" s="38">
        <v>120</v>
      </c>
      <c r="D323" s="38">
        <v>131</v>
      </c>
      <c r="E323" s="56">
        <f t="shared" si="13"/>
        <v>0.11374045801526718</v>
      </c>
      <c r="F323" s="48">
        <f t="shared" si="11"/>
        <v>4.7391857506361322E-3</v>
      </c>
    </row>
    <row r="324" spans="1:6" x14ac:dyDescent="0.25">
      <c r="A324" s="51">
        <v>45828.999305555553</v>
      </c>
      <c r="B324" s="38">
        <v>14.9</v>
      </c>
      <c r="C324" s="38">
        <v>120</v>
      </c>
      <c r="D324" s="38">
        <v>131</v>
      </c>
      <c r="E324" s="56">
        <f t="shared" si="13"/>
        <v>0.11374045801526718</v>
      </c>
      <c r="F324" s="48">
        <f t="shared" ref="F324:F387" si="14">B324/(24*D324)</f>
        <v>4.7391857506361322E-3</v>
      </c>
    </row>
    <row r="325" spans="1:6" x14ac:dyDescent="0.25">
      <c r="A325" s="51">
        <v>45829.999305555553</v>
      </c>
      <c r="B325" s="38">
        <v>14.9</v>
      </c>
      <c r="C325" s="38">
        <v>120</v>
      </c>
      <c r="D325" s="38">
        <v>131</v>
      </c>
      <c r="E325" s="56">
        <f t="shared" si="13"/>
        <v>0.11374045801526718</v>
      </c>
      <c r="F325" s="48">
        <f t="shared" si="14"/>
        <v>4.7391857506361322E-3</v>
      </c>
    </row>
    <row r="326" spans="1:6" x14ac:dyDescent="0.25">
      <c r="A326" s="51">
        <v>45830.999305555553</v>
      </c>
      <c r="B326" s="38">
        <v>14.9</v>
      </c>
      <c r="C326" s="38">
        <v>120</v>
      </c>
      <c r="D326" s="38">
        <v>131</v>
      </c>
      <c r="E326" s="56">
        <f t="shared" si="13"/>
        <v>0.11374045801526718</v>
      </c>
      <c r="F326" s="48">
        <f t="shared" si="14"/>
        <v>4.7391857506361322E-3</v>
      </c>
    </row>
    <row r="327" spans="1:6" x14ac:dyDescent="0.25">
      <c r="A327" s="51">
        <v>45831.999305555553</v>
      </c>
      <c r="B327" s="38">
        <v>14.9</v>
      </c>
      <c r="C327" s="38">
        <v>120</v>
      </c>
      <c r="D327" s="38">
        <v>131</v>
      </c>
      <c r="E327" s="56">
        <f t="shared" si="13"/>
        <v>0.11374045801526718</v>
      </c>
      <c r="F327" s="48">
        <f t="shared" si="14"/>
        <v>4.7391857506361322E-3</v>
      </c>
    </row>
    <row r="328" spans="1:6" x14ac:dyDescent="0.25">
      <c r="A328" s="51">
        <v>45832.999305555553</v>
      </c>
      <c r="B328" s="38">
        <v>14.9</v>
      </c>
      <c r="C328" s="38">
        <v>120</v>
      </c>
      <c r="D328" s="38">
        <v>131</v>
      </c>
      <c r="E328" s="56">
        <f t="shared" si="13"/>
        <v>0.11374045801526718</v>
      </c>
      <c r="F328" s="48">
        <f t="shared" si="14"/>
        <v>4.7391857506361322E-3</v>
      </c>
    </row>
    <row r="329" spans="1:6" x14ac:dyDescent="0.25">
      <c r="A329" s="51">
        <v>45833.999305555553</v>
      </c>
      <c r="B329" s="38">
        <v>14.9</v>
      </c>
      <c r="C329" s="38">
        <v>120</v>
      </c>
      <c r="D329" s="38">
        <v>131</v>
      </c>
      <c r="E329" s="56">
        <f t="shared" si="13"/>
        <v>0.11374045801526718</v>
      </c>
      <c r="F329" s="48">
        <f t="shared" si="14"/>
        <v>4.7391857506361322E-3</v>
      </c>
    </row>
    <row r="330" spans="1:6" x14ac:dyDescent="0.25">
      <c r="A330" s="51">
        <v>45834.999305555553</v>
      </c>
      <c r="B330" s="38">
        <v>14.9</v>
      </c>
      <c r="C330" s="38">
        <v>120</v>
      </c>
      <c r="D330" s="38">
        <v>131</v>
      </c>
      <c r="E330" s="56">
        <f t="shared" si="13"/>
        <v>0.11374045801526718</v>
      </c>
      <c r="F330" s="48">
        <f t="shared" si="14"/>
        <v>4.7391857506361322E-3</v>
      </c>
    </row>
    <row r="331" spans="1:6" x14ac:dyDescent="0.25">
      <c r="A331" s="51">
        <v>45835.999305555553</v>
      </c>
      <c r="B331" s="38">
        <v>14.9</v>
      </c>
      <c r="C331" s="38">
        <v>120</v>
      </c>
      <c r="D331" s="38">
        <v>131</v>
      </c>
      <c r="E331" s="56">
        <f t="shared" si="13"/>
        <v>0.11374045801526718</v>
      </c>
      <c r="F331" s="48">
        <f t="shared" si="14"/>
        <v>4.7391857506361322E-3</v>
      </c>
    </row>
    <row r="332" spans="1:6" x14ac:dyDescent="0.25">
      <c r="A332" s="51">
        <v>45836.999305555553</v>
      </c>
      <c r="B332" s="38">
        <v>14.9</v>
      </c>
      <c r="C332" s="38">
        <v>120</v>
      </c>
      <c r="D332" s="38">
        <v>131</v>
      </c>
      <c r="E332" s="56">
        <f t="shared" si="13"/>
        <v>0.11374045801526718</v>
      </c>
      <c r="F332" s="48">
        <f t="shared" si="14"/>
        <v>4.7391857506361322E-3</v>
      </c>
    </row>
    <row r="333" spans="1:6" x14ac:dyDescent="0.25">
      <c r="A333" s="51">
        <v>45837.999305555553</v>
      </c>
      <c r="B333" s="38">
        <v>14.9</v>
      </c>
      <c r="C333" s="38">
        <v>120</v>
      </c>
      <c r="D333" s="38">
        <v>131</v>
      </c>
      <c r="E333" s="56">
        <f t="shared" si="13"/>
        <v>0.11374045801526718</v>
      </c>
      <c r="F333" s="48">
        <f t="shared" si="14"/>
        <v>4.7391857506361322E-3</v>
      </c>
    </row>
    <row r="334" spans="1:6" x14ac:dyDescent="0.25">
      <c r="A334" s="51">
        <v>45838.999305555553</v>
      </c>
      <c r="B334" s="38">
        <v>407</v>
      </c>
      <c r="C334" s="38">
        <v>120</v>
      </c>
      <c r="D334" s="38">
        <v>131</v>
      </c>
      <c r="E334" s="56">
        <f t="shared" si="13"/>
        <v>3.1068702290076335</v>
      </c>
      <c r="F334" s="48">
        <f t="shared" si="14"/>
        <v>0.1294529262086514</v>
      </c>
    </row>
    <row r="335" spans="1:6" x14ac:dyDescent="0.25">
      <c r="A335" s="51">
        <v>45839.999305555553</v>
      </c>
      <c r="B335" s="38">
        <v>404.9</v>
      </c>
      <c r="C335" s="38">
        <v>120</v>
      </c>
      <c r="D335" s="38">
        <v>131</v>
      </c>
      <c r="E335" s="56">
        <f t="shared" si="13"/>
        <v>3.0908396946564882</v>
      </c>
      <c r="F335" s="48">
        <f t="shared" si="14"/>
        <v>0.12878498727735369</v>
      </c>
    </row>
    <row r="336" spans="1:6" x14ac:dyDescent="0.25">
      <c r="A336" s="51">
        <v>45840.999305555553</v>
      </c>
      <c r="B336" s="38">
        <v>378.8</v>
      </c>
      <c r="C336" s="38">
        <v>120</v>
      </c>
      <c r="D336" s="38">
        <v>131</v>
      </c>
      <c r="E336" s="56">
        <f t="shared" si="13"/>
        <v>2.8916030534351145</v>
      </c>
      <c r="F336" s="48">
        <f t="shared" si="14"/>
        <v>0.12048346055979645</v>
      </c>
    </row>
    <row r="337" spans="1:6" x14ac:dyDescent="0.25">
      <c r="A337" s="51">
        <v>45841.999305555553</v>
      </c>
      <c r="B337" s="38">
        <v>332.7</v>
      </c>
      <c r="C337" s="38">
        <v>120</v>
      </c>
      <c r="D337" s="38">
        <v>131</v>
      </c>
      <c r="E337" s="56">
        <f t="shared" si="13"/>
        <v>2.5396946564885496</v>
      </c>
      <c r="F337" s="48">
        <f t="shared" si="14"/>
        <v>0.10582061068702289</v>
      </c>
    </row>
    <row r="338" spans="1:6" x14ac:dyDescent="0.25">
      <c r="A338" s="51">
        <v>45842.999305555553</v>
      </c>
      <c r="B338" s="38">
        <v>301.5</v>
      </c>
      <c r="C338" s="38">
        <v>120</v>
      </c>
      <c r="D338" s="38">
        <v>131</v>
      </c>
      <c r="E338" s="56">
        <f t="shared" si="13"/>
        <v>2.3015267175572518</v>
      </c>
      <c r="F338" s="48">
        <f t="shared" si="14"/>
        <v>9.5896946564885496E-2</v>
      </c>
    </row>
    <row r="339" spans="1:6" x14ac:dyDescent="0.25">
      <c r="A339" s="51">
        <v>45843.999305555553</v>
      </c>
      <c r="B339" s="38">
        <v>399.3</v>
      </c>
      <c r="C339" s="38">
        <v>120</v>
      </c>
      <c r="D339" s="38">
        <v>131</v>
      </c>
      <c r="E339" s="56">
        <f t="shared" si="13"/>
        <v>3.0480916030534351</v>
      </c>
      <c r="F339" s="48">
        <f t="shared" si="14"/>
        <v>0.12700381679389314</v>
      </c>
    </row>
    <row r="340" spans="1:6" x14ac:dyDescent="0.25">
      <c r="A340" s="51">
        <v>45844.999305555553</v>
      </c>
      <c r="B340" s="38">
        <v>403.7</v>
      </c>
      <c r="C340" s="38">
        <v>120</v>
      </c>
      <c r="D340" s="38">
        <v>131</v>
      </c>
      <c r="E340" s="56">
        <f t="shared" si="13"/>
        <v>3.0816793893129768</v>
      </c>
      <c r="F340" s="48">
        <f t="shared" si="14"/>
        <v>0.12840330788804072</v>
      </c>
    </row>
    <row r="341" spans="1:6" x14ac:dyDescent="0.25">
      <c r="A341" s="51">
        <v>45845.999305555553</v>
      </c>
      <c r="B341" s="38">
        <v>360</v>
      </c>
      <c r="C341" s="38">
        <v>120</v>
      </c>
      <c r="D341" s="38">
        <v>131</v>
      </c>
      <c r="E341" s="56">
        <f t="shared" si="13"/>
        <v>2.7480916030534353</v>
      </c>
      <c r="F341" s="48">
        <f t="shared" si="14"/>
        <v>0.11450381679389313</v>
      </c>
    </row>
    <row r="342" spans="1:6" x14ac:dyDescent="0.25">
      <c r="A342" s="51">
        <v>45846.999305555553</v>
      </c>
      <c r="B342" s="38">
        <v>412.5</v>
      </c>
      <c r="C342" s="38">
        <v>120</v>
      </c>
      <c r="D342" s="38">
        <v>131</v>
      </c>
      <c r="E342" s="56">
        <f t="shared" si="13"/>
        <v>3.1488549618320612</v>
      </c>
      <c r="F342" s="48">
        <f t="shared" si="14"/>
        <v>0.13120229007633588</v>
      </c>
    </row>
    <row r="343" spans="1:6" x14ac:dyDescent="0.25">
      <c r="A343" s="51">
        <v>45847.999305555553</v>
      </c>
      <c r="B343" s="38">
        <v>416.9</v>
      </c>
      <c r="C343" s="38">
        <v>120</v>
      </c>
      <c r="D343" s="38">
        <v>131</v>
      </c>
      <c r="E343" s="56">
        <f t="shared" si="13"/>
        <v>3.1824427480916029</v>
      </c>
      <c r="F343" s="48">
        <f t="shared" si="14"/>
        <v>0.13260178117048346</v>
      </c>
    </row>
    <row r="344" spans="1:6" x14ac:dyDescent="0.25">
      <c r="A344" s="51">
        <v>45848.999305555553</v>
      </c>
      <c r="B344" s="38">
        <v>332.3</v>
      </c>
      <c r="C344" s="38">
        <v>120</v>
      </c>
      <c r="D344" s="38">
        <v>131</v>
      </c>
      <c r="E344" s="56">
        <f t="shared" si="13"/>
        <v>2.5366412213740457</v>
      </c>
      <c r="F344" s="48">
        <f t="shared" si="14"/>
        <v>0.10569338422391858</v>
      </c>
    </row>
    <row r="345" spans="1:6" x14ac:dyDescent="0.25">
      <c r="A345" s="51">
        <v>45849.999305555553</v>
      </c>
      <c r="B345" s="38">
        <v>273.89999999999998</v>
      </c>
      <c r="C345" s="38">
        <v>120</v>
      </c>
      <c r="D345" s="38">
        <v>131</v>
      </c>
      <c r="E345" s="56">
        <f t="shared" si="13"/>
        <v>2.0908396946564882</v>
      </c>
      <c r="F345" s="48">
        <f t="shared" si="14"/>
        <v>8.7118320610687014E-2</v>
      </c>
    </row>
    <row r="346" spans="1:6" x14ac:dyDescent="0.25">
      <c r="A346" s="51">
        <v>45850.999305555553</v>
      </c>
      <c r="B346" s="38">
        <v>277.60000000000002</v>
      </c>
      <c r="C346" s="38">
        <v>120</v>
      </c>
      <c r="D346" s="38">
        <v>131</v>
      </c>
      <c r="E346" s="56">
        <f t="shared" si="13"/>
        <v>2.1190839694656489</v>
      </c>
      <c r="F346" s="48">
        <f t="shared" si="14"/>
        <v>8.8295165394402048E-2</v>
      </c>
    </row>
    <row r="347" spans="1:6" x14ac:dyDescent="0.25">
      <c r="A347" s="51">
        <v>45851.999305555553</v>
      </c>
      <c r="B347" s="38">
        <v>303.7</v>
      </c>
      <c r="C347" s="38">
        <v>120</v>
      </c>
      <c r="D347" s="38">
        <v>131</v>
      </c>
      <c r="E347" s="56">
        <f t="shared" si="13"/>
        <v>2.3183206106870227</v>
      </c>
      <c r="F347" s="48">
        <f t="shared" si="14"/>
        <v>9.6596692111959287E-2</v>
      </c>
    </row>
    <row r="348" spans="1:6" x14ac:dyDescent="0.25">
      <c r="A348" s="51">
        <v>45852.999305555553</v>
      </c>
      <c r="B348" s="38">
        <v>207.4</v>
      </c>
      <c r="C348" s="38">
        <v>120</v>
      </c>
      <c r="D348" s="38">
        <v>131</v>
      </c>
      <c r="E348" s="56">
        <f t="shared" si="13"/>
        <v>1.583206106870229</v>
      </c>
      <c r="F348" s="48">
        <f t="shared" si="14"/>
        <v>6.5966921119592875E-2</v>
      </c>
    </row>
    <row r="349" spans="1:6" x14ac:dyDescent="0.25">
      <c r="A349" s="51">
        <v>45853.999305555553</v>
      </c>
      <c r="B349" s="38">
        <v>410.4</v>
      </c>
      <c r="C349" s="38">
        <v>120</v>
      </c>
      <c r="D349" s="38">
        <v>131</v>
      </c>
      <c r="E349" s="56">
        <f t="shared" si="13"/>
        <v>3.1328244274809158</v>
      </c>
      <c r="F349" s="48">
        <f t="shared" si="14"/>
        <v>0.13053435114503817</v>
      </c>
    </row>
    <row r="350" spans="1:6" x14ac:dyDescent="0.25">
      <c r="A350" s="51">
        <v>45854.999305555553</v>
      </c>
      <c r="B350" s="38">
        <v>408.4</v>
      </c>
      <c r="C350" s="38">
        <v>120</v>
      </c>
      <c r="D350" s="38">
        <v>131</v>
      </c>
      <c r="E350" s="56">
        <f t="shared" si="13"/>
        <v>3.1175572519083969</v>
      </c>
      <c r="F350" s="48">
        <f t="shared" si="14"/>
        <v>0.12989821882951652</v>
      </c>
    </row>
    <row r="351" spans="1:6" x14ac:dyDescent="0.25">
      <c r="A351" s="51">
        <v>45855.999305555553</v>
      </c>
      <c r="B351" s="38">
        <v>404</v>
      </c>
      <c r="C351" s="38">
        <v>120</v>
      </c>
      <c r="D351" s="38">
        <v>131</v>
      </c>
      <c r="E351" s="56">
        <f t="shared" si="13"/>
        <v>3.0839694656488548</v>
      </c>
      <c r="F351" s="48">
        <f t="shared" si="14"/>
        <v>0.12849872773536897</v>
      </c>
    </row>
    <row r="352" spans="1:6" x14ac:dyDescent="0.25">
      <c r="A352" s="51">
        <v>45856.999305555553</v>
      </c>
      <c r="B352" s="38">
        <v>400</v>
      </c>
      <c r="C352" s="38">
        <v>120</v>
      </c>
      <c r="D352" s="38">
        <v>131</v>
      </c>
      <c r="E352" s="56">
        <f t="shared" si="13"/>
        <v>3.053435114503817</v>
      </c>
      <c r="F352" s="48">
        <f t="shared" si="14"/>
        <v>0.1272264631043257</v>
      </c>
    </row>
    <row r="353" spans="1:6" x14ac:dyDescent="0.25">
      <c r="A353" s="51">
        <v>45857.999305555553</v>
      </c>
      <c r="B353" s="38">
        <v>392.6</v>
      </c>
      <c r="C353" s="38">
        <v>120</v>
      </c>
      <c r="D353" s="38">
        <v>131</v>
      </c>
      <c r="E353" s="56">
        <f t="shared" si="13"/>
        <v>2.9969465648854965</v>
      </c>
      <c r="F353" s="48">
        <f t="shared" si="14"/>
        <v>0.12487277353689569</v>
      </c>
    </row>
    <row r="354" spans="1:6" x14ac:dyDescent="0.25">
      <c r="A354" s="51">
        <v>45858.999305555553</v>
      </c>
      <c r="B354" s="38">
        <v>398.9</v>
      </c>
      <c r="C354" s="38">
        <v>120</v>
      </c>
      <c r="D354" s="38">
        <v>131</v>
      </c>
      <c r="E354" s="56">
        <f t="shared" si="13"/>
        <v>3.0450381679389311</v>
      </c>
      <c r="F354" s="48">
        <f t="shared" si="14"/>
        <v>0.1268765903307888</v>
      </c>
    </row>
    <row r="355" spans="1:6" x14ac:dyDescent="0.25">
      <c r="A355" s="51">
        <v>45859.999305555553</v>
      </c>
      <c r="B355" s="38">
        <v>367.4</v>
      </c>
      <c r="C355" s="38">
        <v>120</v>
      </c>
      <c r="D355" s="38">
        <v>131</v>
      </c>
      <c r="E355" s="56">
        <f t="shared" si="13"/>
        <v>2.8045801526717558</v>
      </c>
      <c r="F355" s="48">
        <f t="shared" si="14"/>
        <v>0.11685750636132315</v>
      </c>
    </row>
    <row r="356" spans="1:6" x14ac:dyDescent="0.25">
      <c r="A356" s="51">
        <v>45860.999305555553</v>
      </c>
      <c r="B356" s="38">
        <v>360</v>
      </c>
      <c r="C356" s="38">
        <v>120</v>
      </c>
      <c r="D356" s="38">
        <v>131</v>
      </c>
      <c r="E356" s="56">
        <f t="shared" si="13"/>
        <v>2.7480916030534353</v>
      </c>
      <c r="F356" s="48">
        <f t="shared" si="14"/>
        <v>0.11450381679389313</v>
      </c>
    </row>
    <row r="357" spans="1:6" x14ac:dyDescent="0.25">
      <c r="A357" s="51">
        <v>45861.999305555553</v>
      </c>
      <c r="B357" s="38">
        <v>373.9</v>
      </c>
      <c r="C357" s="38">
        <v>120</v>
      </c>
      <c r="D357" s="38">
        <v>131</v>
      </c>
      <c r="E357" s="56">
        <f t="shared" si="13"/>
        <v>2.8541984732824424</v>
      </c>
      <c r="F357" s="48">
        <f t="shared" si="14"/>
        <v>0.11892493638676845</v>
      </c>
    </row>
    <row r="358" spans="1:6" x14ac:dyDescent="0.25">
      <c r="A358" s="51">
        <v>45862.999305555553</v>
      </c>
      <c r="B358" s="38">
        <v>389.4</v>
      </c>
      <c r="C358" s="38">
        <v>120</v>
      </c>
      <c r="D358" s="38">
        <v>131</v>
      </c>
      <c r="E358" s="56">
        <f t="shared" si="13"/>
        <v>2.9725190839694653</v>
      </c>
      <c r="F358" s="48">
        <f t="shared" si="14"/>
        <v>0.12385496183206106</v>
      </c>
    </row>
    <row r="359" spans="1:6" x14ac:dyDescent="0.25">
      <c r="A359" s="51">
        <v>45863.999305555553</v>
      </c>
      <c r="B359" s="38">
        <v>391.9</v>
      </c>
      <c r="C359" s="38">
        <v>120</v>
      </c>
      <c r="D359" s="38">
        <v>131</v>
      </c>
      <c r="E359" s="56">
        <f t="shared" si="13"/>
        <v>2.9916030534351141</v>
      </c>
      <c r="F359" s="48">
        <f t="shared" si="14"/>
        <v>0.1246501272264631</v>
      </c>
    </row>
    <row r="360" spans="1:6" x14ac:dyDescent="0.25">
      <c r="A360" s="51">
        <v>45864.999305555553</v>
      </c>
      <c r="B360" s="38">
        <v>438.6</v>
      </c>
      <c r="C360" s="38">
        <v>120</v>
      </c>
      <c r="D360" s="38">
        <v>131</v>
      </c>
      <c r="E360" s="56">
        <f t="shared" si="13"/>
        <v>3.3480916030534353</v>
      </c>
      <c r="F360" s="48">
        <f t="shared" si="14"/>
        <v>0.13950381679389315</v>
      </c>
    </row>
    <row r="361" spans="1:6" x14ac:dyDescent="0.25">
      <c r="A361" s="51">
        <v>45865.999305555553</v>
      </c>
      <c r="B361" s="38">
        <v>457.6</v>
      </c>
      <c r="C361" s="38">
        <v>120</v>
      </c>
      <c r="D361" s="38">
        <v>131</v>
      </c>
      <c r="E361" s="56">
        <f t="shared" si="13"/>
        <v>3.4931297709923665</v>
      </c>
      <c r="F361" s="48">
        <f t="shared" si="14"/>
        <v>0.1455470737913486</v>
      </c>
    </row>
    <row r="362" spans="1:6" x14ac:dyDescent="0.25">
      <c r="A362" s="51">
        <v>45866.999305555553</v>
      </c>
      <c r="B362" s="38">
        <v>402.9</v>
      </c>
      <c r="C362" s="38">
        <v>120</v>
      </c>
      <c r="D362" s="38">
        <v>131</v>
      </c>
      <c r="E362" s="56">
        <f t="shared" si="13"/>
        <v>3.0755725190839693</v>
      </c>
      <c r="F362" s="48">
        <f t="shared" si="14"/>
        <v>0.12814885496183206</v>
      </c>
    </row>
    <row r="363" spans="1:6" x14ac:dyDescent="0.25">
      <c r="A363" s="51">
        <v>45867.999305555553</v>
      </c>
      <c r="B363" s="38">
        <v>448.1</v>
      </c>
      <c r="C363" s="38">
        <v>120</v>
      </c>
      <c r="D363" s="38">
        <v>131</v>
      </c>
      <c r="E363" s="56">
        <f t="shared" si="13"/>
        <v>3.4206106870229007</v>
      </c>
      <c r="F363" s="48">
        <f t="shared" si="14"/>
        <v>0.14252544529262087</v>
      </c>
    </row>
    <row r="364" spans="1:6" x14ac:dyDescent="0.25">
      <c r="A364" s="51">
        <v>45868.999305555553</v>
      </c>
      <c r="B364" s="38">
        <v>471.1</v>
      </c>
      <c r="C364" s="38">
        <v>120</v>
      </c>
      <c r="D364" s="38">
        <v>131</v>
      </c>
      <c r="E364" s="56">
        <f>B364/D364</f>
        <v>3.5961832061068706</v>
      </c>
      <c r="F364" s="48">
        <f t="shared" si="14"/>
        <v>0.14984096692111959</v>
      </c>
    </row>
    <row r="365" spans="1:6" x14ac:dyDescent="0.25">
      <c r="A365" s="51">
        <v>45869.999305555553</v>
      </c>
      <c r="B365" s="38">
        <v>467.6</v>
      </c>
      <c r="C365" s="38">
        <v>120</v>
      </c>
      <c r="D365" s="38">
        <v>131</v>
      </c>
      <c r="E365" s="56">
        <f t="shared" si="13"/>
        <v>3.5694656488549619</v>
      </c>
      <c r="F365" s="48">
        <f t="shared" si="14"/>
        <v>0.14872773536895675</v>
      </c>
    </row>
    <row r="366" spans="1:6" x14ac:dyDescent="0.25">
      <c r="A366" s="51">
        <v>45870.999305555553</v>
      </c>
      <c r="B366" s="38">
        <v>472.7</v>
      </c>
      <c r="C366" s="38">
        <v>120</v>
      </c>
      <c r="D366" s="38">
        <v>131</v>
      </c>
      <c r="E366" s="56">
        <f t="shared" si="13"/>
        <v>3.6083969465648855</v>
      </c>
      <c r="F366" s="48">
        <f t="shared" si="14"/>
        <v>0.1503498727735369</v>
      </c>
    </row>
    <row r="367" spans="1:6" x14ac:dyDescent="0.25">
      <c r="A367" s="51">
        <v>45871.999305555553</v>
      </c>
      <c r="B367" s="38">
        <v>467.1</v>
      </c>
      <c r="C367" s="38">
        <v>120</v>
      </c>
      <c r="D367" s="38">
        <v>131</v>
      </c>
      <c r="E367" s="56">
        <f t="shared" si="13"/>
        <v>3.5656488549618324</v>
      </c>
      <c r="F367" s="48">
        <f t="shared" si="14"/>
        <v>0.14856870229007635</v>
      </c>
    </row>
    <row r="368" spans="1:6" x14ac:dyDescent="0.25">
      <c r="A368" s="51">
        <v>45872.999305555553</v>
      </c>
      <c r="B368" s="38">
        <v>480.8</v>
      </c>
      <c r="C368" s="38">
        <v>120</v>
      </c>
      <c r="D368" s="38">
        <v>131</v>
      </c>
      <c r="E368" s="56">
        <f t="shared" si="13"/>
        <v>3.6702290076335879</v>
      </c>
      <c r="F368" s="48">
        <f t="shared" si="14"/>
        <v>0.1529262086513995</v>
      </c>
    </row>
    <row r="369" spans="1:6" x14ac:dyDescent="0.25">
      <c r="A369" s="51">
        <v>45873.999305555553</v>
      </c>
      <c r="B369" s="38">
        <v>460.3</v>
      </c>
      <c r="C369" s="38">
        <v>120</v>
      </c>
      <c r="D369" s="38">
        <v>131</v>
      </c>
      <c r="E369" s="56">
        <f t="shared" si="13"/>
        <v>3.5137404580152674</v>
      </c>
      <c r="F369" s="48">
        <f t="shared" si="14"/>
        <v>0.14640585241730281</v>
      </c>
    </row>
    <row r="370" spans="1:6" x14ac:dyDescent="0.25">
      <c r="A370" s="51">
        <v>45874.999305555553</v>
      </c>
      <c r="B370" s="38">
        <v>225.9</v>
      </c>
      <c r="C370" s="38">
        <v>120</v>
      </c>
      <c r="D370" s="38">
        <v>131</v>
      </c>
      <c r="E370" s="56">
        <f t="shared" si="13"/>
        <v>1.7244274809160305</v>
      </c>
      <c r="F370" s="48">
        <f t="shared" si="14"/>
        <v>7.1851145038167946E-2</v>
      </c>
    </row>
    <row r="371" spans="1:6" x14ac:dyDescent="0.25">
      <c r="A371" s="51">
        <v>45875.999305555553</v>
      </c>
      <c r="B371" s="38">
        <v>434.3</v>
      </c>
      <c r="C371" s="38">
        <v>120</v>
      </c>
      <c r="D371" s="38">
        <v>131</v>
      </c>
      <c r="E371" s="56">
        <f t="shared" ref="E371:E434" si="15">B371/D371</f>
        <v>3.3152671755725192</v>
      </c>
      <c r="F371" s="48">
        <f t="shared" si="14"/>
        <v>0.13813613231552163</v>
      </c>
    </row>
    <row r="372" spans="1:6" x14ac:dyDescent="0.25">
      <c r="A372" s="51">
        <v>45876.999305555553</v>
      </c>
      <c r="B372" s="38">
        <v>448</v>
      </c>
      <c r="C372" s="38">
        <v>120</v>
      </c>
      <c r="D372" s="38">
        <v>131</v>
      </c>
      <c r="E372" s="56">
        <f t="shared" si="15"/>
        <v>3.4198473282442747</v>
      </c>
      <c r="F372" s="48">
        <f t="shared" si="14"/>
        <v>0.14249363867684478</v>
      </c>
    </row>
    <row r="373" spans="1:6" x14ac:dyDescent="0.25">
      <c r="A373" s="51">
        <v>45877.999305555553</v>
      </c>
      <c r="B373" s="38">
        <v>416.2</v>
      </c>
      <c r="C373" s="38">
        <v>120</v>
      </c>
      <c r="D373" s="38">
        <v>131</v>
      </c>
      <c r="E373" s="56">
        <f t="shared" si="15"/>
        <v>3.1770992366412214</v>
      </c>
      <c r="F373" s="48">
        <f t="shared" si="14"/>
        <v>0.13237913486005087</v>
      </c>
    </row>
    <row r="374" spans="1:6" x14ac:dyDescent="0.25">
      <c r="A374" s="51">
        <v>45878.999305555553</v>
      </c>
      <c r="B374" s="38">
        <v>399.9</v>
      </c>
      <c r="C374" s="38">
        <v>120</v>
      </c>
      <c r="D374" s="38">
        <v>131</v>
      </c>
      <c r="E374" s="56">
        <f t="shared" si="15"/>
        <v>3.0526717557251906</v>
      </c>
      <c r="F374" s="48">
        <f t="shared" si="14"/>
        <v>0.12719465648854961</v>
      </c>
    </row>
    <row r="375" spans="1:6" x14ac:dyDescent="0.25">
      <c r="A375" s="51">
        <v>45879.999305555553</v>
      </c>
      <c r="B375" s="38">
        <v>463.7</v>
      </c>
      <c r="C375" s="38">
        <v>120</v>
      </c>
      <c r="D375" s="38">
        <v>131</v>
      </c>
      <c r="E375" s="56">
        <f t="shared" si="15"/>
        <v>3.5396946564885496</v>
      </c>
      <c r="F375" s="48">
        <f t="shared" si="14"/>
        <v>0.14748727735368958</v>
      </c>
    </row>
    <row r="376" spans="1:6" x14ac:dyDescent="0.25">
      <c r="A376" s="51">
        <v>45880.999305555553</v>
      </c>
      <c r="B376" s="38">
        <v>443.4</v>
      </c>
      <c r="C376" s="38">
        <v>120</v>
      </c>
      <c r="D376" s="38">
        <v>131</v>
      </c>
      <c r="E376" s="56">
        <f t="shared" si="15"/>
        <v>3.3847328244274806</v>
      </c>
      <c r="F376" s="48">
        <f t="shared" si="14"/>
        <v>0.14103053435114504</v>
      </c>
    </row>
    <row r="377" spans="1:6" x14ac:dyDescent="0.25">
      <c r="A377" s="51">
        <v>45881.999305555553</v>
      </c>
      <c r="B377" s="38">
        <v>348.9</v>
      </c>
      <c r="C377" s="38">
        <v>120</v>
      </c>
      <c r="D377" s="38">
        <v>131</v>
      </c>
      <c r="E377" s="56">
        <f t="shared" si="15"/>
        <v>2.663358778625954</v>
      </c>
      <c r="F377" s="48">
        <f t="shared" si="14"/>
        <v>0.11097328244274808</v>
      </c>
    </row>
    <row r="378" spans="1:6" x14ac:dyDescent="0.25">
      <c r="A378" s="51">
        <v>45882.999305555553</v>
      </c>
      <c r="B378" s="38">
        <v>454.3</v>
      </c>
      <c r="C378" s="38">
        <v>120</v>
      </c>
      <c r="D378" s="38">
        <v>131</v>
      </c>
      <c r="E378" s="56">
        <f t="shared" si="15"/>
        <v>3.4679389312977098</v>
      </c>
      <c r="F378" s="48">
        <f t="shared" si="14"/>
        <v>0.14449745547073792</v>
      </c>
    </row>
    <row r="379" spans="1:6" x14ac:dyDescent="0.25">
      <c r="A379" s="51">
        <v>45883.999305555553</v>
      </c>
      <c r="B379" s="38">
        <v>448</v>
      </c>
      <c r="C379" s="38">
        <v>120</v>
      </c>
      <c r="D379" s="38">
        <v>131</v>
      </c>
      <c r="E379" s="56">
        <f t="shared" si="15"/>
        <v>3.4198473282442747</v>
      </c>
      <c r="F379" s="48">
        <f t="shared" si="14"/>
        <v>0.14249363867684478</v>
      </c>
    </row>
    <row r="380" spans="1:6" x14ac:dyDescent="0.25">
      <c r="A380" s="51">
        <v>45884.999305555553</v>
      </c>
      <c r="B380" s="38">
        <v>441.2</v>
      </c>
      <c r="C380" s="38">
        <v>120</v>
      </c>
      <c r="D380" s="38">
        <v>131</v>
      </c>
      <c r="E380" s="56">
        <f t="shared" si="15"/>
        <v>3.3679389312977097</v>
      </c>
      <c r="F380" s="48">
        <f t="shared" si="14"/>
        <v>0.14033078880407124</v>
      </c>
    </row>
    <row r="381" spans="1:6" x14ac:dyDescent="0.25">
      <c r="A381" s="51">
        <v>45885.999305555553</v>
      </c>
      <c r="B381" s="38">
        <v>463.4</v>
      </c>
      <c r="C381" s="38">
        <v>120</v>
      </c>
      <c r="D381" s="38">
        <v>131</v>
      </c>
      <c r="E381" s="56">
        <f t="shared" si="15"/>
        <v>3.5374045801526717</v>
      </c>
      <c r="F381" s="48">
        <f t="shared" si="14"/>
        <v>0.14739185750636133</v>
      </c>
    </row>
    <row r="382" spans="1:6" x14ac:dyDescent="0.25">
      <c r="A382" s="51">
        <v>45886.999305555553</v>
      </c>
      <c r="B382" s="38">
        <v>462.9</v>
      </c>
      <c r="C382" s="38">
        <v>120</v>
      </c>
      <c r="D382" s="38">
        <v>131</v>
      </c>
      <c r="E382" s="56">
        <f t="shared" si="15"/>
        <v>3.5335877862595417</v>
      </c>
      <c r="F382" s="48">
        <f t="shared" si="14"/>
        <v>0.1472328244274809</v>
      </c>
    </row>
    <row r="383" spans="1:6" x14ac:dyDescent="0.25">
      <c r="A383" s="51">
        <v>45887.999305555553</v>
      </c>
      <c r="B383" s="38">
        <v>431</v>
      </c>
      <c r="C383" s="38">
        <v>120</v>
      </c>
      <c r="D383" s="38">
        <v>131</v>
      </c>
      <c r="E383" s="56">
        <f t="shared" si="15"/>
        <v>3.2900763358778624</v>
      </c>
      <c r="F383" s="48">
        <f t="shared" si="14"/>
        <v>0.13708651399491095</v>
      </c>
    </row>
    <row r="384" spans="1:6" x14ac:dyDescent="0.25">
      <c r="A384" s="51">
        <v>45888.999305555553</v>
      </c>
      <c r="B384" s="38">
        <v>446.7</v>
      </c>
      <c r="C384" s="38">
        <v>120</v>
      </c>
      <c r="D384" s="38">
        <v>131</v>
      </c>
      <c r="E384" s="56">
        <f t="shared" si="15"/>
        <v>3.4099236641221373</v>
      </c>
      <c r="F384" s="48">
        <f t="shared" si="14"/>
        <v>0.14208015267175572</v>
      </c>
    </row>
    <row r="385" spans="1:6" x14ac:dyDescent="0.25">
      <c r="A385" s="51">
        <v>45889.999305555553</v>
      </c>
      <c r="B385" s="38">
        <v>454.8</v>
      </c>
      <c r="C385" s="38">
        <v>120</v>
      </c>
      <c r="D385" s="38">
        <v>131</v>
      </c>
      <c r="E385" s="56">
        <f t="shared" si="15"/>
        <v>3.4717557251908397</v>
      </c>
      <c r="F385" s="48">
        <f t="shared" si="14"/>
        <v>0.14465648854961832</v>
      </c>
    </row>
    <row r="386" spans="1:6" x14ac:dyDescent="0.25">
      <c r="A386" s="51">
        <v>45890.999305555553</v>
      </c>
      <c r="B386" s="38">
        <v>424.7</v>
      </c>
      <c r="C386" s="38">
        <v>120</v>
      </c>
      <c r="D386" s="38">
        <v>131</v>
      </c>
      <c r="E386" s="56">
        <f t="shared" si="15"/>
        <v>3.2419847328244273</v>
      </c>
      <c r="F386" s="48">
        <f t="shared" si="14"/>
        <v>0.13508269720101782</v>
      </c>
    </row>
    <row r="387" spans="1:6" x14ac:dyDescent="0.25">
      <c r="A387" s="51">
        <v>45891.999305555553</v>
      </c>
      <c r="B387" s="38">
        <v>495.3</v>
      </c>
      <c r="C387" s="38">
        <v>120</v>
      </c>
      <c r="D387" s="38">
        <v>131</v>
      </c>
      <c r="E387" s="56">
        <f t="shared" si="15"/>
        <v>3.7809160305343514</v>
      </c>
      <c r="F387" s="48">
        <f t="shared" si="14"/>
        <v>0.1575381679389313</v>
      </c>
    </row>
    <row r="388" spans="1:6" x14ac:dyDescent="0.25">
      <c r="A388" s="51">
        <v>45892.999305555553</v>
      </c>
      <c r="B388" s="38">
        <v>455.8</v>
      </c>
      <c r="C388" s="38">
        <v>120</v>
      </c>
      <c r="D388" s="38">
        <v>131</v>
      </c>
      <c r="E388" s="56">
        <f t="shared" si="15"/>
        <v>3.4793893129770992</v>
      </c>
      <c r="F388" s="48">
        <f t="shared" ref="F388:F451" si="16">B388/(24*D388)</f>
        <v>0.14497455470737913</v>
      </c>
    </row>
    <row r="389" spans="1:6" x14ac:dyDescent="0.25">
      <c r="A389" s="51">
        <v>45893.999305555553</v>
      </c>
      <c r="B389" s="38">
        <v>485.3</v>
      </c>
      <c r="C389" s="38">
        <v>120</v>
      </c>
      <c r="D389" s="38">
        <v>131</v>
      </c>
      <c r="E389" s="56">
        <f t="shared" si="15"/>
        <v>3.7045801526717557</v>
      </c>
      <c r="F389" s="48">
        <f t="shared" si="16"/>
        <v>0.15435750636132317</v>
      </c>
    </row>
    <row r="390" spans="1:6" x14ac:dyDescent="0.25">
      <c r="A390" s="51">
        <v>45894.999305555553</v>
      </c>
      <c r="B390" s="38">
        <v>496</v>
      </c>
      <c r="C390" s="38">
        <v>120</v>
      </c>
      <c r="D390" s="38">
        <v>131</v>
      </c>
      <c r="E390" s="56">
        <f t="shared" si="15"/>
        <v>3.7862595419847329</v>
      </c>
      <c r="F390" s="48">
        <f t="shared" si="16"/>
        <v>0.15776081424936386</v>
      </c>
    </row>
    <row r="391" spans="1:6" x14ac:dyDescent="0.25">
      <c r="A391" s="51">
        <v>45895.999305555553</v>
      </c>
      <c r="B391" s="38">
        <v>493.2</v>
      </c>
      <c r="C391" s="38">
        <v>120</v>
      </c>
      <c r="D391" s="38">
        <v>131</v>
      </c>
      <c r="E391" s="56">
        <f t="shared" si="15"/>
        <v>3.7648854961832061</v>
      </c>
      <c r="F391" s="48">
        <f t="shared" si="16"/>
        <v>0.15687022900763359</v>
      </c>
    </row>
    <row r="392" spans="1:6" x14ac:dyDescent="0.25">
      <c r="A392" s="51">
        <v>45896.999305555553</v>
      </c>
      <c r="B392" s="38">
        <v>493.2</v>
      </c>
      <c r="C392" s="38">
        <v>120</v>
      </c>
      <c r="D392" s="38">
        <v>131</v>
      </c>
      <c r="E392" s="56">
        <f t="shared" si="15"/>
        <v>3.7648854961832061</v>
      </c>
      <c r="F392" s="48">
        <f t="shared" si="16"/>
        <v>0.15687022900763359</v>
      </c>
    </row>
    <row r="393" spans="1:6" x14ac:dyDescent="0.25">
      <c r="A393" s="51">
        <v>45897.999305555553</v>
      </c>
      <c r="B393" s="38">
        <v>493.2</v>
      </c>
      <c r="C393" s="38">
        <v>120</v>
      </c>
      <c r="D393" s="38">
        <v>131</v>
      </c>
      <c r="E393" s="56">
        <f t="shared" si="15"/>
        <v>3.7648854961832061</v>
      </c>
      <c r="F393" s="48">
        <f t="shared" si="16"/>
        <v>0.15687022900763359</v>
      </c>
    </row>
    <row r="394" spans="1:6" x14ac:dyDescent="0.25">
      <c r="A394" s="51">
        <v>45898.999305555553</v>
      </c>
      <c r="B394" s="38">
        <v>354.4</v>
      </c>
      <c r="C394" s="38">
        <v>120</v>
      </c>
      <c r="D394" s="38">
        <v>131</v>
      </c>
      <c r="E394" s="56">
        <f t="shared" si="15"/>
        <v>2.7053435114503817</v>
      </c>
      <c r="F394" s="48">
        <f t="shared" si="16"/>
        <v>0.11272264631043256</v>
      </c>
    </row>
    <row r="395" spans="1:6" x14ac:dyDescent="0.25">
      <c r="A395" s="51">
        <v>45899.999305555553</v>
      </c>
      <c r="B395" s="38">
        <v>331.9</v>
      </c>
      <c r="C395" s="38">
        <v>120</v>
      </c>
      <c r="D395" s="38">
        <v>131</v>
      </c>
      <c r="E395" s="56">
        <f t="shared" si="15"/>
        <v>2.5335877862595417</v>
      </c>
      <c r="F395" s="48">
        <f t="shared" si="16"/>
        <v>0.10556615776081424</v>
      </c>
    </row>
    <row r="396" spans="1:6" x14ac:dyDescent="0.25">
      <c r="A396" s="51">
        <v>45900.999305555553</v>
      </c>
      <c r="B396" s="38">
        <v>405.4</v>
      </c>
      <c r="C396" s="38">
        <v>120</v>
      </c>
      <c r="D396" s="38">
        <v>131</v>
      </c>
      <c r="E396" s="56">
        <f t="shared" si="15"/>
        <v>3.0946564885496182</v>
      </c>
      <c r="F396" s="48">
        <f t="shared" si="16"/>
        <v>0.12894402035623409</v>
      </c>
    </row>
    <row r="397" spans="1:6" x14ac:dyDescent="0.25">
      <c r="A397" s="51">
        <v>45901.999305555553</v>
      </c>
      <c r="B397" s="38">
        <v>362.7</v>
      </c>
      <c r="C397" s="38">
        <v>120</v>
      </c>
      <c r="D397" s="38">
        <v>131</v>
      </c>
      <c r="E397" s="56">
        <f t="shared" si="15"/>
        <v>2.7687022900763356</v>
      </c>
      <c r="F397" s="48">
        <f t="shared" si="16"/>
        <v>0.11536259541984732</v>
      </c>
    </row>
    <row r="398" spans="1:6" x14ac:dyDescent="0.25">
      <c r="A398" s="51">
        <v>45902.999305555553</v>
      </c>
      <c r="B398" s="38">
        <v>312.2</v>
      </c>
      <c r="C398" s="38">
        <v>120</v>
      </c>
      <c r="D398" s="38">
        <v>131</v>
      </c>
      <c r="E398" s="56">
        <f t="shared" si="15"/>
        <v>2.383206106870229</v>
      </c>
      <c r="F398" s="48">
        <f t="shared" si="16"/>
        <v>9.9300254452926201E-2</v>
      </c>
    </row>
    <row r="399" spans="1:6" x14ac:dyDescent="0.25">
      <c r="A399" s="51">
        <v>45903.999305555553</v>
      </c>
      <c r="B399" s="38">
        <v>471.7</v>
      </c>
      <c r="C399" s="38">
        <v>120</v>
      </c>
      <c r="D399" s="38">
        <v>131</v>
      </c>
      <c r="E399" s="56">
        <f t="shared" si="15"/>
        <v>3.6007633587786261</v>
      </c>
      <c r="F399" s="48">
        <f t="shared" si="16"/>
        <v>0.15003180661577609</v>
      </c>
    </row>
    <row r="400" spans="1:6" x14ac:dyDescent="0.25">
      <c r="A400" s="51">
        <v>45904.999305555553</v>
      </c>
      <c r="B400" s="38">
        <v>551.79999999999995</v>
      </c>
      <c r="C400" s="38">
        <v>120</v>
      </c>
      <c r="D400" s="38">
        <v>131</v>
      </c>
      <c r="E400" s="56">
        <f t="shared" si="15"/>
        <v>4.2122137404580151</v>
      </c>
      <c r="F400" s="48">
        <f t="shared" si="16"/>
        <v>0.1755089058524173</v>
      </c>
    </row>
    <row r="401" spans="1:6" x14ac:dyDescent="0.25">
      <c r="A401" s="51">
        <v>45905.999305555553</v>
      </c>
      <c r="B401" s="38">
        <v>558.79999999999995</v>
      </c>
      <c r="C401" s="38">
        <v>120</v>
      </c>
      <c r="D401" s="38">
        <v>131</v>
      </c>
      <c r="E401" s="56">
        <f t="shared" si="15"/>
        <v>4.2656488549618317</v>
      </c>
      <c r="F401" s="48">
        <f t="shared" si="16"/>
        <v>0.177735368956743</v>
      </c>
    </row>
    <row r="402" spans="1:6" x14ac:dyDescent="0.25">
      <c r="A402" s="51">
        <v>45906.999305555553</v>
      </c>
      <c r="B402" s="38">
        <v>534.70000000000005</v>
      </c>
      <c r="C402" s="38">
        <v>120</v>
      </c>
      <c r="D402" s="38">
        <v>131</v>
      </c>
      <c r="E402" s="56">
        <f t="shared" si="15"/>
        <v>4.0816793893129777</v>
      </c>
      <c r="F402" s="48">
        <f t="shared" si="16"/>
        <v>0.1700699745547074</v>
      </c>
    </row>
    <row r="403" spans="1:6" x14ac:dyDescent="0.25">
      <c r="A403" s="51">
        <v>45907.999305555553</v>
      </c>
      <c r="B403" s="38">
        <v>537.6</v>
      </c>
      <c r="C403" s="38">
        <v>120</v>
      </c>
      <c r="D403" s="38">
        <v>131</v>
      </c>
      <c r="E403" s="56">
        <f t="shared" si="15"/>
        <v>4.10381679389313</v>
      </c>
      <c r="F403" s="48">
        <f t="shared" si="16"/>
        <v>0.17099236641221374</v>
      </c>
    </row>
    <row r="404" spans="1:6" x14ac:dyDescent="0.25">
      <c r="A404" s="51">
        <v>45908.999305555553</v>
      </c>
      <c r="B404" s="38">
        <v>533.29999999999995</v>
      </c>
      <c r="C404" s="38">
        <v>120</v>
      </c>
      <c r="D404" s="38">
        <v>131</v>
      </c>
      <c r="E404" s="56">
        <f t="shared" si="15"/>
        <v>4.070992366412213</v>
      </c>
      <c r="F404" s="48">
        <f t="shared" si="16"/>
        <v>0.16962468193384223</v>
      </c>
    </row>
    <row r="405" spans="1:6" x14ac:dyDescent="0.25">
      <c r="A405" s="51">
        <v>45909.999305555553</v>
      </c>
      <c r="B405" s="38">
        <v>543.1</v>
      </c>
      <c r="C405" s="38">
        <v>120</v>
      </c>
      <c r="D405" s="38">
        <v>131</v>
      </c>
      <c r="E405" s="56">
        <f t="shared" si="15"/>
        <v>4.1458015267175572</v>
      </c>
      <c r="F405" s="48">
        <f t="shared" si="16"/>
        <v>0.17274173027989823</v>
      </c>
    </row>
    <row r="406" spans="1:6" x14ac:dyDescent="0.25">
      <c r="A406" s="51">
        <v>45910.999305555553</v>
      </c>
      <c r="B406" s="38">
        <v>537.5</v>
      </c>
      <c r="C406" s="38">
        <v>120</v>
      </c>
      <c r="D406" s="38">
        <v>131</v>
      </c>
      <c r="E406" s="56">
        <f t="shared" si="15"/>
        <v>4.1030534351145036</v>
      </c>
      <c r="F406" s="48">
        <f t="shared" si="16"/>
        <v>0.17096055979643765</v>
      </c>
    </row>
    <row r="407" spans="1:6" x14ac:dyDescent="0.25">
      <c r="A407" s="51">
        <v>45911.999305555553</v>
      </c>
      <c r="B407" s="38">
        <v>548.1</v>
      </c>
      <c r="C407" s="38">
        <v>120</v>
      </c>
      <c r="D407" s="38">
        <v>131</v>
      </c>
      <c r="E407" s="56">
        <f t="shared" si="15"/>
        <v>4.1839694656488549</v>
      </c>
      <c r="F407" s="48">
        <f t="shared" si="16"/>
        <v>0.1743320610687023</v>
      </c>
    </row>
    <row r="408" spans="1:6" x14ac:dyDescent="0.25">
      <c r="A408" s="51">
        <v>45912.999305555553</v>
      </c>
      <c r="B408" s="38">
        <v>521.79999999999995</v>
      </c>
      <c r="C408" s="38">
        <v>120</v>
      </c>
      <c r="D408" s="38">
        <v>131</v>
      </c>
      <c r="E408" s="56">
        <f t="shared" si="15"/>
        <v>3.9832061068702287</v>
      </c>
      <c r="F408" s="48">
        <f t="shared" si="16"/>
        <v>0.16596692111959285</v>
      </c>
    </row>
    <row r="409" spans="1:6" x14ac:dyDescent="0.25">
      <c r="A409" s="51">
        <v>45913.999305555553</v>
      </c>
      <c r="B409" s="38">
        <v>468.7</v>
      </c>
      <c r="C409" s="38">
        <v>120</v>
      </c>
      <c r="D409" s="38">
        <v>131</v>
      </c>
      <c r="E409" s="56">
        <f t="shared" si="15"/>
        <v>3.5778625954198473</v>
      </c>
      <c r="F409" s="48">
        <f t="shared" si="16"/>
        <v>0.14907760814249363</v>
      </c>
    </row>
    <row r="410" spans="1:6" x14ac:dyDescent="0.25">
      <c r="A410" s="51">
        <v>45914.999305555553</v>
      </c>
      <c r="B410" s="38">
        <v>431.4</v>
      </c>
      <c r="C410" s="38">
        <v>120</v>
      </c>
      <c r="D410" s="38">
        <v>131</v>
      </c>
      <c r="E410" s="56">
        <f t="shared" si="15"/>
        <v>3.2931297709923664</v>
      </c>
      <c r="F410" s="48">
        <f t="shared" si="16"/>
        <v>0.13721374045801527</v>
      </c>
    </row>
    <row r="411" spans="1:6" x14ac:dyDescent="0.25">
      <c r="A411" s="51">
        <v>45915.999305555553</v>
      </c>
      <c r="B411" s="38">
        <v>439.7</v>
      </c>
      <c r="C411" s="38">
        <v>120</v>
      </c>
      <c r="D411" s="38">
        <v>131</v>
      </c>
      <c r="E411" s="56">
        <f t="shared" si="15"/>
        <v>3.3564885496183203</v>
      </c>
      <c r="F411" s="48">
        <f t="shared" si="16"/>
        <v>0.13985368956743002</v>
      </c>
    </row>
    <row r="412" spans="1:6" x14ac:dyDescent="0.25">
      <c r="A412" s="51">
        <v>45916.999305555553</v>
      </c>
      <c r="B412" s="38">
        <v>559.20000000000005</v>
      </c>
      <c r="C412" s="38">
        <v>120</v>
      </c>
      <c r="D412" s="38">
        <v>131</v>
      </c>
      <c r="E412" s="56">
        <f t="shared" si="15"/>
        <v>4.2687022900763365</v>
      </c>
      <c r="F412" s="48">
        <f t="shared" si="16"/>
        <v>0.17786259541984734</v>
      </c>
    </row>
    <row r="413" spans="1:6" x14ac:dyDescent="0.25">
      <c r="A413" s="51">
        <v>45917.999305555553</v>
      </c>
      <c r="B413" s="38">
        <v>503.2</v>
      </c>
      <c r="C413" s="38">
        <v>120</v>
      </c>
      <c r="D413" s="38">
        <v>131</v>
      </c>
      <c r="E413" s="56">
        <f t="shared" si="15"/>
        <v>3.8412213740458014</v>
      </c>
      <c r="F413" s="48">
        <f t="shared" si="16"/>
        <v>0.16005089058524172</v>
      </c>
    </row>
    <row r="414" spans="1:6" x14ac:dyDescent="0.25">
      <c r="A414" s="51">
        <v>45918.999305555553</v>
      </c>
      <c r="B414" s="38">
        <v>530.79999999999995</v>
      </c>
      <c r="C414" s="38">
        <v>120</v>
      </c>
      <c r="D414" s="38">
        <v>131</v>
      </c>
      <c r="E414" s="56">
        <f t="shared" si="15"/>
        <v>4.0519083969465646</v>
      </c>
      <c r="F414" s="48">
        <f t="shared" si="16"/>
        <v>0.1688295165394402</v>
      </c>
    </row>
    <row r="415" spans="1:6" x14ac:dyDescent="0.25">
      <c r="A415" s="51">
        <v>45919.999305555553</v>
      </c>
      <c r="B415" s="38">
        <v>509.1</v>
      </c>
      <c r="C415" s="38">
        <v>120</v>
      </c>
      <c r="D415" s="38">
        <v>131</v>
      </c>
      <c r="E415" s="56">
        <f t="shared" si="15"/>
        <v>3.886259541984733</v>
      </c>
      <c r="F415" s="48">
        <f t="shared" si="16"/>
        <v>0.16192748091603054</v>
      </c>
    </row>
    <row r="416" spans="1:6" x14ac:dyDescent="0.25">
      <c r="A416" s="51">
        <v>45920.999305555553</v>
      </c>
      <c r="B416" s="38">
        <v>474.9</v>
      </c>
      <c r="C416" s="38">
        <v>120</v>
      </c>
      <c r="D416" s="38">
        <v>131</v>
      </c>
      <c r="E416" s="56">
        <f t="shared" si="15"/>
        <v>3.6251908396946564</v>
      </c>
      <c r="F416" s="48">
        <f t="shared" si="16"/>
        <v>0.15104961832061067</v>
      </c>
    </row>
    <row r="417" spans="1:6" x14ac:dyDescent="0.25">
      <c r="A417" s="51">
        <v>45921.999305555553</v>
      </c>
      <c r="B417" s="38">
        <v>497.6</v>
      </c>
      <c r="C417" s="38">
        <v>120</v>
      </c>
      <c r="D417" s="38">
        <v>131</v>
      </c>
      <c r="E417" s="56">
        <f t="shared" si="15"/>
        <v>3.7984732824427483</v>
      </c>
      <c r="F417" s="48">
        <f t="shared" si="16"/>
        <v>0.15826972010178117</v>
      </c>
    </row>
    <row r="418" spans="1:6" x14ac:dyDescent="0.25">
      <c r="A418" s="51">
        <v>45922.999305555553</v>
      </c>
      <c r="B418" s="38">
        <v>396.8</v>
      </c>
      <c r="C418" s="38">
        <v>120</v>
      </c>
      <c r="D418" s="38">
        <v>131</v>
      </c>
      <c r="E418" s="56">
        <f t="shared" si="15"/>
        <v>3.0290076335877862</v>
      </c>
      <c r="F418" s="48">
        <f t="shared" si="16"/>
        <v>0.12620865139949108</v>
      </c>
    </row>
    <row r="419" spans="1:6" x14ac:dyDescent="0.25">
      <c r="A419" s="51">
        <v>45923.999305555553</v>
      </c>
      <c r="B419" s="38">
        <v>367</v>
      </c>
      <c r="C419" s="38">
        <v>120</v>
      </c>
      <c r="D419" s="38">
        <v>131</v>
      </c>
      <c r="E419" s="56">
        <f t="shared" si="15"/>
        <v>2.8015267175572518</v>
      </c>
      <c r="F419" s="48">
        <f t="shared" si="16"/>
        <v>0.11673027989821882</v>
      </c>
    </row>
    <row r="420" spans="1:6" x14ac:dyDescent="0.25">
      <c r="A420" s="51">
        <v>45924.999305555553</v>
      </c>
      <c r="B420" s="38">
        <v>349</v>
      </c>
      <c r="C420" s="38">
        <v>120</v>
      </c>
      <c r="D420" s="38">
        <v>131</v>
      </c>
      <c r="E420" s="56">
        <f t="shared" si="15"/>
        <v>2.66412213740458</v>
      </c>
      <c r="F420" s="48">
        <f t="shared" si="16"/>
        <v>0.11100508905852417</v>
      </c>
    </row>
    <row r="421" spans="1:6" x14ac:dyDescent="0.25">
      <c r="A421" s="51">
        <v>45925.999305555553</v>
      </c>
      <c r="B421" s="38">
        <v>276.60000000000002</v>
      </c>
      <c r="C421" s="38">
        <v>120</v>
      </c>
      <c r="D421" s="38">
        <v>131</v>
      </c>
      <c r="E421" s="56">
        <f t="shared" si="15"/>
        <v>2.1114503816793895</v>
      </c>
      <c r="F421" s="48">
        <f t="shared" si="16"/>
        <v>8.7977099236641224E-2</v>
      </c>
    </row>
    <row r="422" spans="1:6" x14ac:dyDescent="0.25">
      <c r="A422" s="51">
        <v>45926.999305555553</v>
      </c>
      <c r="B422" s="38">
        <v>472.8</v>
      </c>
      <c r="C422" s="38">
        <v>120</v>
      </c>
      <c r="D422" s="38">
        <v>131</v>
      </c>
      <c r="E422" s="56">
        <f t="shared" si="15"/>
        <v>3.6091603053435115</v>
      </c>
      <c r="F422" s="48">
        <f t="shared" si="16"/>
        <v>0.15038167938931299</v>
      </c>
    </row>
    <row r="423" spans="1:6" x14ac:dyDescent="0.25">
      <c r="A423" s="51">
        <v>45927.999305555553</v>
      </c>
      <c r="B423" s="38">
        <v>600.29999999999995</v>
      </c>
      <c r="C423" s="38">
        <v>120</v>
      </c>
      <c r="D423" s="38">
        <v>131</v>
      </c>
      <c r="E423" s="56">
        <f t="shared" si="15"/>
        <v>4.5824427480916023</v>
      </c>
      <c r="F423" s="48">
        <f t="shared" si="16"/>
        <v>0.19093511450381678</v>
      </c>
    </row>
    <row r="424" spans="1:6" x14ac:dyDescent="0.25">
      <c r="A424" s="51">
        <v>45928.999305555553</v>
      </c>
      <c r="B424" s="38">
        <v>590.5</v>
      </c>
      <c r="C424" s="38">
        <v>120</v>
      </c>
      <c r="D424" s="38">
        <v>131</v>
      </c>
      <c r="E424" s="56">
        <f t="shared" si="15"/>
        <v>4.5076335877862599</v>
      </c>
      <c r="F424" s="48">
        <f t="shared" si="16"/>
        <v>0.18781806615776081</v>
      </c>
    </row>
    <row r="425" spans="1:6" x14ac:dyDescent="0.25">
      <c r="A425" s="51">
        <v>45929.999305555553</v>
      </c>
      <c r="B425" s="38">
        <v>539.4</v>
      </c>
      <c r="C425" s="38">
        <v>120</v>
      </c>
      <c r="D425" s="38">
        <v>131</v>
      </c>
      <c r="E425" s="56">
        <f t="shared" si="15"/>
        <v>4.1175572519083969</v>
      </c>
      <c r="F425" s="48">
        <f t="shared" si="16"/>
        <v>0.17156488549618321</v>
      </c>
    </row>
    <row r="426" spans="1:6" x14ac:dyDescent="0.25">
      <c r="A426" s="51">
        <v>45930.999305497688</v>
      </c>
      <c r="B426" s="38">
        <v>202.2</v>
      </c>
      <c r="C426" s="38">
        <v>120</v>
      </c>
      <c r="D426" s="38">
        <v>131</v>
      </c>
      <c r="E426" s="56">
        <f t="shared" si="15"/>
        <v>1.5435114503816794</v>
      </c>
      <c r="F426" s="48">
        <f t="shared" si="16"/>
        <v>6.431297709923664E-2</v>
      </c>
    </row>
    <row r="427" spans="1:6" x14ac:dyDescent="0.25">
      <c r="A427" s="51">
        <v>45931.999305497688</v>
      </c>
      <c r="B427">
        <v>589.29999999999995</v>
      </c>
      <c r="C427" s="38">
        <v>120</v>
      </c>
      <c r="D427" s="38">
        <v>131</v>
      </c>
      <c r="E427" s="56">
        <f t="shared" si="15"/>
        <v>4.498473282442748</v>
      </c>
      <c r="F427" s="48">
        <f t="shared" si="16"/>
        <v>0.18743638676844782</v>
      </c>
    </row>
    <row r="428" spans="1:6" x14ac:dyDescent="0.25">
      <c r="A428" s="51">
        <v>45932.999305497688</v>
      </c>
      <c r="B428">
        <v>553.6</v>
      </c>
      <c r="C428" s="38">
        <v>120</v>
      </c>
      <c r="D428" s="38">
        <v>131</v>
      </c>
      <c r="E428" s="56">
        <f t="shared" si="15"/>
        <v>4.2259541984732829</v>
      </c>
      <c r="F428" s="48">
        <f t="shared" si="16"/>
        <v>0.17608142493638679</v>
      </c>
    </row>
    <row r="429" spans="1:6" x14ac:dyDescent="0.25">
      <c r="A429" s="51">
        <v>45933.999305497688</v>
      </c>
      <c r="B429">
        <v>507.6</v>
      </c>
      <c r="C429" s="38">
        <v>120</v>
      </c>
      <c r="D429" s="38">
        <v>131</v>
      </c>
      <c r="E429" s="56">
        <f t="shared" si="15"/>
        <v>3.8748091603053436</v>
      </c>
      <c r="F429" s="48">
        <f t="shared" si="16"/>
        <v>0.16145038167938933</v>
      </c>
    </row>
    <row r="430" spans="1:6" x14ac:dyDescent="0.25">
      <c r="A430" s="51">
        <v>45934.999305497688</v>
      </c>
      <c r="B430">
        <v>310.7</v>
      </c>
      <c r="C430" s="38">
        <v>120</v>
      </c>
      <c r="D430" s="38">
        <v>131</v>
      </c>
      <c r="E430" s="56">
        <f t="shared" si="15"/>
        <v>2.3717557251908397</v>
      </c>
      <c r="F430" s="48">
        <f t="shared" si="16"/>
        <v>9.8823155216284986E-2</v>
      </c>
    </row>
    <row r="431" spans="1:6" x14ac:dyDescent="0.25">
      <c r="A431" s="51">
        <v>45935.999305497688</v>
      </c>
      <c r="B431">
        <v>454.7</v>
      </c>
      <c r="C431" s="38">
        <v>120</v>
      </c>
      <c r="D431" s="38">
        <v>131</v>
      </c>
      <c r="E431" s="56">
        <f t="shared" si="15"/>
        <v>3.4709923664122138</v>
      </c>
      <c r="F431" s="48">
        <f t="shared" si="16"/>
        <v>0.14462468193384223</v>
      </c>
    </row>
    <row r="432" spans="1:6" x14ac:dyDescent="0.25">
      <c r="A432" s="51">
        <v>45936.999305497688</v>
      </c>
      <c r="B432">
        <v>574.6</v>
      </c>
      <c r="C432" s="38">
        <v>120</v>
      </c>
      <c r="D432" s="38">
        <v>131</v>
      </c>
      <c r="E432" s="56">
        <f t="shared" si="15"/>
        <v>4.3862595419847326</v>
      </c>
      <c r="F432" s="48">
        <f t="shared" si="16"/>
        <v>0.18276081424936388</v>
      </c>
    </row>
    <row r="433" spans="1:6" x14ac:dyDescent="0.25">
      <c r="A433" s="51">
        <v>45937.999305497688</v>
      </c>
      <c r="B433">
        <v>533.5</v>
      </c>
      <c r="C433" s="38">
        <v>120</v>
      </c>
      <c r="D433" s="38">
        <v>131</v>
      </c>
      <c r="E433" s="56">
        <f t="shared" si="15"/>
        <v>4.0725190839694658</v>
      </c>
      <c r="F433" s="48">
        <f t="shared" si="16"/>
        <v>0.16968829516539441</v>
      </c>
    </row>
    <row r="434" spans="1:6" x14ac:dyDescent="0.25">
      <c r="A434" s="51">
        <v>45938.999305497688</v>
      </c>
      <c r="B434">
        <v>511.8</v>
      </c>
      <c r="C434" s="38">
        <v>120</v>
      </c>
      <c r="D434" s="38">
        <v>131</v>
      </c>
      <c r="E434" s="56">
        <f t="shared" si="15"/>
        <v>3.9068702290076338</v>
      </c>
      <c r="F434" s="48">
        <f t="shared" si="16"/>
        <v>0.16278625954198472</v>
      </c>
    </row>
    <row r="435" spans="1:6" x14ac:dyDescent="0.25">
      <c r="A435" s="51">
        <v>45939.999305497688</v>
      </c>
      <c r="B435">
        <v>333.6</v>
      </c>
      <c r="C435" s="38">
        <v>120</v>
      </c>
      <c r="D435" s="38">
        <v>131</v>
      </c>
      <c r="E435" s="56">
        <f t="shared" ref="E435:E498" si="17">B435/D435</f>
        <v>2.5465648854961835</v>
      </c>
      <c r="F435" s="48">
        <f t="shared" si="16"/>
        <v>0.10610687022900764</v>
      </c>
    </row>
    <row r="436" spans="1:6" x14ac:dyDescent="0.25">
      <c r="A436" s="51">
        <v>45940.999305497688</v>
      </c>
      <c r="B436">
        <v>419.5</v>
      </c>
      <c r="C436" s="38">
        <v>120</v>
      </c>
      <c r="D436" s="38">
        <v>131</v>
      </c>
      <c r="E436" s="56">
        <f t="shared" si="17"/>
        <v>3.2022900763358777</v>
      </c>
      <c r="F436" s="48">
        <f t="shared" si="16"/>
        <v>0.13342875318066158</v>
      </c>
    </row>
    <row r="437" spans="1:6" x14ac:dyDescent="0.25">
      <c r="A437" s="51">
        <v>45941.999305497688</v>
      </c>
      <c r="B437">
        <v>375.7</v>
      </c>
      <c r="C437" s="38">
        <v>120</v>
      </c>
      <c r="D437" s="38">
        <v>131</v>
      </c>
      <c r="E437" s="56">
        <f t="shared" si="17"/>
        <v>2.8679389312977097</v>
      </c>
      <c r="F437" s="48">
        <f t="shared" si="16"/>
        <v>0.11949745547073791</v>
      </c>
    </row>
    <row r="438" spans="1:6" x14ac:dyDescent="0.25">
      <c r="A438" s="51">
        <v>45942.999305497688</v>
      </c>
      <c r="B438">
        <v>532.29999999999995</v>
      </c>
      <c r="C438" s="38">
        <v>120</v>
      </c>
      <c r="D438" s="38">
        <v>131</v>
      </c>
      <c r="E438" s="56">
        <f t="shared" si="17"/>
        <v>4.063358778625954</v>
      </c>
      <c r="F438" s="48">
        <f t="shared" si="16"/>
        <v>0.16930661577608141</v>
      </c>
    </row>
    <row r="439" spans="1:6" x14ac:dyDescent="0.25">
      <c r="A439" s="51">
        <v>45943.999305497688</v>
      </c>
      <c r="B439">
        <v>220.2</v>
      </c>
      <c r="C439" s="38">
        <v>120</v>
      </c>
      <c r="D439" s="38">
        <v>131</v>
      </c>
      <c r="E439" s="56">
        <f t="shared" si="17"/>
        <v>1.6809160305343511</v>
      </c>
      <c r="F439" s="48">
        <f t="shared" si="16"/>
        <v>7.0038167938931292E-2</v>
      </c>
    </row>
    <row r="440" spans="1:6" x14ac:dyDescent="0.25">
      <c r="A440" s="51">
        <v>45944.999305497688</v>
      </c>
      <c r="B440">
        <v>373.1</v>
      </c>
      <c r="C440" s="38">
        <v>120</v>
      </c>
      <c r="D440" s="38">
        <v>131</v>
      </c>
      <c r="E440" s="56">
        <f t="shared" si="17"/>
        <v>2.8480916030534353</v>
      </c>
      <c r="F440" s="48">
        <f t="shared" si="16"/>
        <v>0.11867048346055981</v>
      </c>
    </row>
    <row r="441" spans="1:6" x14ac:dyDescent="0.25">
      <c r="A441" s="51">
        <v>45945.999305497688</v>
      </c>
      <c r="B441">
        <v>539.20000000000005</v>
      </c>
      <c r="C441" s="38">
        <v>120</v>
      </c>
      <c r="D441" s="38">
        <v>131</v>
      </c>
      <c r="E441" s="56">
        <f t="shared" si="17"/>
        <v>4.116030534351145</v>
      </c>
      <c r="F441" s="48">
        <f t="shared" si="16"/>
        <v>0.17150127226463105</v>
      </c>
    </row>
    <row r="442" spans="1:6" x14ac:dyDescent="0.25">
      <c r="A442" s="51">
        <v>45946.999305497688</v>
      </c>
      <c r="B442">
        <v>611.79999999999995</v>
      </c>
      <c r="C442" s="38">
        <v>120</v>
      </c>
      <c r="D442" s="38">
        <v>131</v>
      </c>
      <c r="E442" s="56">
        <f t="shared" si="17"/>
        <v>4.6702290076335871</v>
      </c>
      <c r="F442" s="48">
        <f t="shared" si="16"/>
        <v>0.19459287531806616</v>
      </c>
    </row>
    <row r="443" spans="1:6" x14ac:dyDescent="0.25">
      <c r="A443" s="51">
        <v>45947.999305497688</v>
      </c>
      <c r="B443">
        <v>617.20000000000005</v>
      </c>
      <c r="C443" s="38">
        <v>120</v>
      </c>
      <c r="D443" s="38">
        <v>131</v>
      </c>
      <c r="E443" s="56">
        <f t="shared" si="17"/>
        <v>4.7114503816793896</v>
      </c>
      <c r="F443" s="48">
        <f t="shared" si="16"/>
        <v>0.19631043256997457</v>
      </c>
    </row>
    <row r="444" spans="1:6" x14ac:dyDescent="0.25">
      <c r="A444" s="51">
        <v>45948.999305497688</v>
      </c>
      <c r="B444">
        <v>402.8</v>
      </c>
      <c r="C444" s="38">
        <v>120</v>
      </c>
      <c r="D444" s="38">
        <v>131</v>
      </c>
      <c r="E444" s="56">
        <f t="shared" si="17"/>
        <v>3.0748091603053438</v>
      </c>
      <c r="F444" s="48">
        <f t="shared" si="16"/>
        <v>0.12811704834605597</v>
      </c>
    </row>
    <row r="445" spans="1:6" x14ac:dyDescent="0.25">
      <c r="A445" s="51">
        <v>45949.999305497688</v>
      </c>
      <c r="B445">
        <v>212.7</v>
      </c>
      <c r="C445" s="38">
        <v>120</v>
      </c>
      <c r="D445" s="38">
        <v>131</v>
      </c>
      <c r="E445" s="56">
        <f t="shared" si="17"/>
        <v>1.6236641221374044</v>
      </c>
      <c r="F445" s="48">
        <f t="shared" si="16"/>
        <v>6.7652671755725188E-2</v>
      </c>
    </row>
    <row r="446" spans="1:6" x14ac:dyDescent="0.25">
      <c r="A446" s="51">
        <v>45950.999305497688</v>
      </c>
      <c r="B446">
        <v>430.6</v>
      </c>
      <c r="C446" s="38">
        <v>120</v>
      </c>
      <c r="D446" s="38">
        <v>131</v>
      </c>
      <c r="E446" s="56">
        <f t="shared" si="17"/>
        <v>3.2870229007633589</v>
      </c>
      <c r="F446" s="48">
        <f t="shared" si="16"/>
        <v>0.13695928753180661</v>
      </c>
    </row>
    <row r="447" spans="1:6" x14ac:dyDescent="0.25">
      <c r="A447" s="51">
        <v>45951.999305497688</v>
      </c>
      <c r="B447">
        <v>603.79999999999995</v>
      </c>
      <c r="C447" s="38">
        <v>120</v>
      </c>
      <c r="D447" s="38">
        <v>131</v>
      </c>
      <c r="E447" s="56">
        <f t="shared" si="17"/>
        <v>4.6091603053435115</v>
      </c>
      <c r="F447" s="48">
        <f t="shared" si="16"/>
        <v>0.19204834605597962</v>
      </c>
    </row>
    <row r="448" spans="1:6" x14ac:dyDescent="0.25">
      <c r="A448" s="51">
        <v>45952.999305497688</v>
      </c>
      <c r="B448">
        <v>508.1</v>
      </c>
      <c r="C448" s="38">
        <v>120</v>
      </c>
      <c r="D448" s="38">
        <v>131</v>
      </c>
      <c r="E448" s="56">
        <f t="shared" si="17"/>
        <v>3.8786259541984736</v>
      </c>
      <c r="F448" s="48">
        <f t="shared" si="16"/>
        <v>0.16160941475826973</v>
      </c>
    </row>
    <row r="449" spans="1:6" x14ac:dyDescent="0.25">
      <c r="A449" s="51">
        <v>45953.999305497688</v>
      </c>
      <c r="B449">
        <v>434.9</v>
      </c>
      <c r="C449" s="38">
        <v>120</v>
      </c>
      <c r="D449" s="38">
        <v>131</v>
      </c>
      <c r="E449" s="56">
        <f t="shared" si="17"/>
        <v>3.3198473282442746</v>
      </c>
      <c r="F449" s="48">
        <f t="shared" si="16"/>
        <v>0.1383269720101781</v>
      </c>
    </row>
    <row r="450" spans="1:6" x14ac:dyDescent="0.25">
      <c r="A450" s="51">
        <v>45954.999305497688</v>
      </c>
      <c r="B450">
        <v>455.8</v>
      </c>
      <c r="C450" s="38">
        <v>120</v>
      </c>
      <c r="D450" s="38">
        <v>131</v>
      </c>
      <c r="E450" s="56">
        <f t="shared" si="17"/>
        <v>3.4793893129770992</v>
      </c>
      <c r="F450" s="48">
        <f t="shared" si="16"/>
        <v>0.14497455470737913</v>
      </c>
    </row>
    <row r="451" spans="1:6" x14ac:dyDescent="0.25">
      <c r="A451" s="51">
        <v>45955.999305497688</v>
      </c>
      <c r="B451">
        <v>600.9</v>
      </c>
      <c r="C451" s="38">
        <v>120</v>
      </c>
      <c r="D451" s="38">
        <v>131</v>
      </c>
      <c r="E451" s="56">
        <f t="shared" si="17"/>
        <v>4.5870229007633583</v>
      </c>
      <c r="F451" s="48">
        <f t="shared" si="16"/>
        <v>0.19112595419847328</v>
      </c>
    </row>
    <row r="452" spans="1:6" x14ac:dyDescent="0.25">
      <c r="A452" s="51">
        <v>45956.999305497688</v>
      </c>
      <c r="B452">
        <v>557.70000000000005</v>
      </c>
      <c r="C452" s="38">
        <v>120</v>
      </c>
      <c r="D452" s="38">
        <v>131</v>
      </c>
      <c r="E452" s="56">
        <f t="shared" si="17"/>
        <v>4.2572519083969471</v>
      </c>
      <c r="F452" s="48">
        <f t="shared" ref="F452:F515" si="18">B452/(24*D452)</f>
        <v>0.17738549618320612</v>
      </c>
    </row>
    <row r="453" spans="1:6" x14ac:dyDescent="0.25">
      <c r="A453" s="51">
        <v>45957.999305497688</v>
      </c>
      <c r="B453">
        <v>575</v>
      </c>
      <c r="C453" s="38">
        <v>120</v>
      </c>
      <c r="D453" s="38">
        <v>131</v>
      </c>
      <c r="E453" s="56">
        <f t="shared" si="17"/>
        <v>4.3893129770992365</v>
      </c>
      <c r="F453" s="48">
        <f t="shared" si="18"/>
        <v>0.1828880407124682</v>
      </c>
    </row>
    <row r="454" spans="1:6" x14ac:dyDescent="0.25">
      <c r="A454" s="51">
        <v>45958.999305497688</v>
      </c>
      <c r="B454">
        <v>525.29999999999995</v>
      </c>
      <c r="C454" s="38">
        <v>120</v>
      </c>
      <c r="D454" s="38">
        <v>131</v>
      </c>
      <c r="E454" s="56">
        <f t="shared" si="17"/>
        <v>4.0099236641221374</v>
      </c>
      <c r="F454" s="48">
        <f t="shared" si="18"/>
        <v>0.16708015267175572</v>
      </c>
    </row>
    <row r="455" spans="1:6" x14ac:dyDescent="0.25">
      <c r="A455" s="51">
        <v>45959.999305497688</v>
      </c>
      <c r="B455">
        <v>487.3</v>
      </c>
      <c r="C455" s="38">
        <v>120</v>
      </c>
      <c r="D455" s="38">
        <v>131</v>
      </c>
      <c r="E455" s="56">
        <f t="shared" si="17"/>
        <v>3.719847328244275</v>
      </c>
      <c r="F455" s="48">
        <f t="shared" si="18"/>
        <v>0.15499363867684479</v>
      </c>
    </row>
    <row r="456" spans="1:6" x14ac:dyDescent="0.25">
      <c r="A456" s="51">
        <v>45960.999305497688</v>
      </c>
      <c r="B456">
        <v>326.39999999999998</v>
      </c>
      <c r="C456" s="38">
        <v>120</v>
      </c>
      <c r="D456" s="38">
        <v>131</v>
      </c>
      <c r="E456" s="56">
        <f t="shared" si="17"/>
        <v>2.4916030534351141</v>
      </c>
      <c r="F456" s="48">
        <f t="shared" si="18"/>
        <v>0.10381679389312977</v>
      </c>
    </row>
    <row r="457" spans="1:6" x14ac:dyDescent="0.25">
      <c r="A457" s="51">
        <v>45961.999305497688</v>
      </c>
      <c r="B457">
        <v>258.8</v>
      </c>
      <c r="C457" s="38">
        <v>120</v>
      </c>
      <c r="D457" s="38">
        <v>131</v>
      </c>
      <c r="E457" s="56">
        <f t="shared" si="17"/>
        <v>1.9755725190839695</v>
      </c>
      <c r="F457" s="48">
        <f t="shared" si="18"/>
        <v>8.2315521628498728E-2</v>
      </c>
    </row>
    <row r="458" spans="1:6" x14ac:dyDescent="0.25">
      <c r="A458" s="51">
        <v>45962.999305497688</v>
      </c>
      <c r="B458">
        <v>552.9</v>
      </c>
      <c r="C458" s="38">
        <v>120</v>
      </c>
      <c r="D458" s="38">
        <v>131</v>
      </c>
      <c r="E458" s="56">
        <f t="shared" si="17"/>
        <v>4.2206106870229005</v>
      </c>
      <c r="F458" s="48">
        <f t="shared" si="18"/>
        <v>0.1758587786259542</v>
      </c>
    </row>
    <row r="459" spans="1:6" x14ac:dyDescent="0.25">
      <c r="A459" s="51">
        <v>45963.999305497688</v>
      </c>
      <c r="B459">
        <v>390.6</v>
      </c>
      <c r="C459" s="38">
        <v>120</v>
      </c>
      <c r="D459" s="38">
        <v>131</v>
      </c>
      <c r="E459" s="56">
        <f t="shared" si="17"/>
        <v>2.9816793893129772</v>
      </c>
      <c r="F459" s="48">
        <f t="shared" si="18"/>
        <v>0.12423664122137405</v>
      </c>
    </row>
    <row r="460" spans="1:6" x14ac:dyDescent="0.25">
      <c r="A460" s="51">
        <v>45964.999305497688</v>
      </c>
      <c r="B460">
        <v>260.8</v>
      </c>
      <c r="C460" s="38">
        <v>120</v>
      </c>
      <c r="D460" s="38">
        <v>131</v>
      </c>
      <c r="E460" s="56">
        <f t="shared" si="17"/>
        <v>1.9908396946564886</v>
      </c>
      <c r="F460" s="48">
        <f t="shared" si="18"/>
        <v>8.2951653944020362E-2</v>
      </c>
    </row>
    <row r="461" spans="1:6" x14ac:dyDescent="0.25">
      <c r="A461" s="51">
        <v>45965.999305497688</v>
      </c>
      <c r="B461">
        <v>488.4</v>
      </c>
      <c r="C461" s="38">
        <v>120</v>
      </c>
      <c r="D461" s="38">
        <v>131</v>
      </c>
      <c r="E461" s="56">
        <f t="shared" si="17"/>
        <v>3.72824427480916</v>
      </c>
      <c r="F461" s="48">
        <f t="shared" si="18"/>
        <v>0.15534351145038167</v>
      </c>
    </row>
    <row r="462" spans="1:6" x14ac:dyDescent="0.25">
      <c r="A462" s="51">
        <v>45966.999305497688</v>
      </c>
      <c r="B462">
        <v>560.20000000000005</v>
      </c>
      <c r="C462" s="38">
        <v>120</v>
      </c>
      <c r="D462" s="38">
        <v>131</v>
      </c>
      <c r="E462" s="56">
        <f t="shared" si="17"/>
        <v>4.2763358778625955</v>
      </c>
      <c r="F462" s="48">
        <f t="shared" si="18"/>
        <v>0.17818066157760815</v>
      </c>
    </row>
    <row r="463" spans="1:6" x14ac:dyDescent="0.25">
      <c r="A463" s="51">
        <v>45967.999305497688</v>
      </c>
      <c r="B463">
        <v>594.1</v>
      </c>
      <c r="C463" s="38">
        <v>120</v>
      </c>
      <c r="D463" s="38">
        <v>131</v>
      </c>
      <c r="E463" s="56">
        <f t="shared" si="17"/>
        <v>4.5351145038167937</v>
      </c>
      <c r="F463" s="48">
        <f t="shared" si="18"/>
        <v>0.18896310432569977</v>
      </c>
    </row>
    <row r="464" spans="1:6" x14ac:dyDescent="0.25">
      <c r="A464" s="51">
        <v>45968.999305497688</v>
      </c>
      <c r="B464">
        <v>507.4</v>
      </c>
      <c r="C464" s="38">
        <v>120</v>
      </c>
      <c r="D464" s="38">
        <v>131</v>
      </c>
      <c r="E464" s="56">
        <f t="shared" si="17"/>
        <v>3.8732824427480916</v>
      </c>
      <c r="F464" s="48">
        <f t="shared" si="18"/>
        <v>0.16138676844783714</v>
      </c>
    </row>
    <row r="465" spans="1:6" x14ac:dyDescent="0.25">
      <c r="A465" s="51">
        <v>45969.999305497688</v>
      </c>
      <c r="B465">
        <v>80.3</v>
      </c>
      <c r="C465" s="38">
        <v>120</v>
      </c>
      <c r="D465" s="38">
        <v>131</v>
      </c>
      <c r="E465" s="56">
        <f t="shared" si="17"/>
        <v>0.61297709923664123</v>
      </c>
      <c r="F465" s="48">
        <f t="shared" si="18"/>
        <v>2.5540712468193384E-2</v>
      </c>
    </row>
    <row r="466" spans="1:6" x14ac:dyDescent="0.25">
      <c r="A466" s="51">
        <v>45970.999305497688</v>
      </c>
      <c r="B466">
        <v>273.60000000000002</v>
      </c>
      <c r="C466" s="38">
        <v>120</v>
      </c>
      <c r="D466" s="38">
        <v>131</v>
      </c>
      <c r="E466" s="56">
        <f t="shared" si="17"/>
        <v>2.0885496183206107</v>
      </c>
      <c r="F466" s="48">
        <f t="shared" si="18"/>
        <v>8.7022900763358779E-2</v>
      </c>
    </row>
    <row r="467" spans="1:6" x14ac:dyDescent="0.25">
      <c r="A467" s="51">
        <v>45971.999305497688</v>
      </c>
      <c r="B467">
        <v>434.4</v>
      </c>
      <c r="C467" s="38">
        <v>120</v>
      </c>
      <c r="D467" s="38">
        <v>131</v>
      </c>
      <c r="E467" s="56">
        <f t="shared" si="17"/>
        <v>3.3160305343511447</v>
      </c>
      <c r="F467" s="48">
        <f t="shared" si="18"/>
        <v>0.1381679389312977</v>
      </c>
    </row>
    <row r="468" spans="1:6" x14ac:dyDescent="0.25">
      <c r="A468" s="51">
        <v>45972.999305497688</v>
      </c>
      <c r="B468">
        <v>578.5</v>
      </c>
      <c r="C468" s="38">
        <v>120</v>
      </c>
      <c r="D468" s="38">
        <v>131</v>
      </c>
      <c r="E468" s="56">
        <f t="shared" si="17"/>
        <v>4.4160305343511448</v>
      </c>
      <c r="F468" s="48">
        <f t="shared" si="18"/>
        <v>0.18400127226463103</v>
      </c>
    </row>
    <row r="469" spans="1:6" x14ac:dyDescent="0.25">
      <c r="A469" s="51">
        <v>45973.999305497688</v>
      </c>
      <c r="B469">
        <v>673.6</v>
      </c>
      <c r="C469" s="38">
        <v>120</v>
      </c>
      <c r="D469" s="38">
        <v>131</v>
      </c>
      <c r="E469" s="56">
        <f t="shared" si="17"/>
        <v>5.1419847328244277</v>
      </c>
      <c r="F469" s="48">
        <f t="shared" si="18"/>
        <v>0.21424936386768448</v>
      </c>
    </row>
    <row r="470" spans="1:6" x14ac:dyDescent="0.25">
      <c r="A470" s="51">
        <v>45974.999305497688</v>
      </c>
      <c r="B470">
        <v>559.6</v>
      </c>
      <c r="C470" s="38">
        <v>120</v>
      </c>
      <c r="D470" s="38">
        <v>131</v>
      </c>
      <c r="E470" s="56">
        <f t="shared" si="17"/>
        <v>4.2717557251908396</v>
      </c>
      <c r="F470" s="48">
        <f t="shared" si="18"/>
        <v>0.17798982188295165</v>
      </c>
    </row>
    <row r="471" spans="1:6" x14ac:dyDescent="0.25">
      <c r="A471" s="51">
        <v>45975.999305497688</v>
      </c>
      <c r="B471">
        <v>569</v>
      </c>
      <c r="C471" s="38">
        <v>120</v>
      </c>
      <c r="D471" s="38">
        <v>131</v>
      </c>
      <c r="E471" s="56">
        <f t="shared" si="17"/>
        <v>4.343511450381679</v>
      </c>
      <c r="F471" s="48">
        <f t="shared" si="18"/>
        <v>0.18097964376590331</v>
      </c>
    </row>
    <row r="472" spans="1:6" x14ac:dyDescent="0.25">
      <c r="A472" s="51">
        <v>45976.999305497688</v>
      </c>
      <c r="B472">
        <v>541.20000000000005</v>
      </c>
      <c r="C472" s="38">
        <v>120</v>
      </c>
      <c r="D472" s="38">
        <v>131</v>
      </c>
      <c r="E472" s="56">
        <f t="shared" si="17"/>
        <v>4.1312977099236647</v>
      </c>
      <c r="F472" s="48">
        <f t="shared" si="18"/>
        <v>0.1721374045801527</v>
      </c>
    </row>
    <row r="473" spans="1:6" x14ac:dyDescent="0.25">
      <c r="A473" s="51">
        <v>45977.999305497688</v>
      </c>
      <c r="B473">
        <v>408.6</v>
      </c>
      <c r="C473" s="38">
        <v>120</v>
      </c>
      <c r="D473" s="38">
        <v>131</v>
      </c>
      <c r="E473" s="56">
        <f t="shared" si="17"/>
        <v>3.1190839694656489</v>
      </c>
      <c r="F473" s="48">
        <f t="shared" si="18"/>
        <v>0.12996183206106871</v>
      </c>
    </row>
    <row r="474" spans="1:6" x14ac:dyDescent="0.25">
      <c r="A474" s="51">
        <v>45978.999305497688</v>
      </c>
      <c r="B474">
        <v>200.7</v>
      </c>
      <c r="C474" s="38">
        <v>120</v>
      </c>
      <c r="D474" s="38">
        <v>131</v>
      </c>
      <c r="E474" s="56">
        <f t="shared" si="17"/>
        <v>1.53206106870229</v>
      </c>
      <c r="F474" s="48">
        <f t="shared" si="18"/>
        <v>6.3835877862595411E-2</v>
      </c>
    </row>
    <row r="475" spans="1:6" x14ac:dyDescent="0.25">
      <c r="A475" s="51">
        <v>45979.999305497688</v>
      </c>
      <c r="B475">
        <v>474.4</v>
      </c>
      <c r="C475" s="38">
        <v>120</v>
      </c>
      <c r="D475" s="38">
        <v>131</v>
      </c>
      <c r="E475" s="56">
        <f t="shared" si="17"/>
        <v>3.6213740458015264</v>
      </c>
      <c r="F475" s="48">
        <f t="shared" si="18"/>
        <v>0.15089058524173027</v>
      </c>
    </row>
    <row r="476" spans="1:6" x14ac:dyDescent="0.25">
      <c r="A476" s="51">
        <v>45980.999305497688</v>
      </c>
      <c r="B476">
        <v>701.5</v>
      </c>
      <c r="C476" s="38">
        <v>120</v>
      </c>
      <c r="D476" s="38">
        <v>131</v>
      </c>
      <c r="E476" s="56">
        <f t="shared" si="17"/>
        <v>5.3549618320610683</v>
      </c>
      <c r="F476" s="48">
        <f t="shared" si="18"/>
        <v>0.22312340966921121</v>
      </c>
    </row>
    <row r="477" spans="1:6" x14ac:dyDescent="0.25">
      <c r="A477" s="51">
        <v>45981.999305497688</v>
      </c>
      <c r="B477">
        <v>697</v>
      </c>
      <c r="C477" s="38">
        <v>120</v>
      </c>
      <c r="D477" s="38">
        <v>131</v>
      </c>
      <c r="E477" s="56">
        <f t="shared" si="17"/>
        <v>5.3206106870229011</v>
      </c>
      <c r="F477" s="48">
        <f t="shared" si="18"/>
        <v>0.22169211195928754</v>
      </c>
    </row>
    <row r="478" spans="1:6" x14ac:dyDescent="0.25">
      <c r="A478" s="51">
        <v>45982.999305497688</v>
      </c>
      <c r="B478">
        <v>628.70000000000005</v>
      </c>
      <c r="C478" s="38">
        <v>120</v>
      </c>
      <c r="D478" s="38">
        <v>131</v>
      </c>
      <c r="E478" s="56">
        <f t="shared" si="17"/>
        <v>4.7992366412213743</v>
      </c>
      <c r="F478" s="48">
        <f t="shared" si="18"/>
        <v>0.19996819338422395</v>
      </c>
    </row>
    <row r="479" spans="1:6" x14ac:dyDescent="0.25">
      <c r="A479" s="51">
        <v>45983.999305497688</v>
      </c>
      <c r="B479">
        <v>535.70000000000005</v>
      </c>
      <c r="C479" s="38">
        <v>120</v>
      </c>
      <c r="D479" s="38">
        <v>131</v>
      </c>
      <c r="E479" s="56">
        <f t="shared" si="17"/>
        <v>4.0893129770992367</v>
      </c>
      <c r="F479" s="48">
        <f t="shared" si="18"/>
        <v>0.17038804071246821</v>
      </c>
    </row>
    <row r="480" spans="1:6" x14ac:dyDescent="0.25">
      <c r="A480" s="51">
        <v>45984.999305497688</v>
      </c>
      <c r="B480">
        <v>159.30000000000001</v>
      </c>
      <c r="C480" s="38">
        <v>120</v>
      </c>
      <c r="D480" s="38">
        <v>131</v>
      </c>
      <c r="E480" s="56">
        <f t="shared" si="17"/>
        <v>1.2160305343511451</v>
      </c>
      <c r="F480" s="48">
        <f t="shared" si="18"/>
        <v>5.0667938931297715E-2</v>
      </c>
    </row>
    <row r="481" spans="1:6" x14ac:dyDescent="0.25">
      <c r="A481" s="51">
        <v>45985.999305497688</v>
      </c>
      <c r="B481">
        <v>450.7</v>
      </c>
      <c r="C481" s="38">
        <v>120</v>
      </c>
      <c r="D481" s="38">
        <v>131</v>
      </c>
      <c r="E481" s="56">
        <f t="shared" si="17"/>
        <v>3.4404580152671755</v>
      </c>
      <c r="F481" s="48">
        <f t="shared" si="18"/>
        <v>0.14335241730279899</v>
      </c>
    </row>
    <row r="482" spans="1:6" x14ac:dyDescent="0.25">
      <c r="A482" s="51">
        <v>45986.999305497688</v>
      </c>
      <c r="B482">
        <v>487.5</v>
      </c>
      <c r="C482" s="38">
        <v>120</v>
      </c>
      <c r="D482" s="38">
        <v>131</v>
      </c>
      <c r="E482" s="56">
        <f t="shared" si="17"/>
        <v>3.7213740458015265</v>
      </c>
      <c r="F482" s="48">
        <f t="shared" si="18"/>
        <v>0.15505725190839695</v>
      </c>
    </row>
    <row r="483" spans="1:6" x14ac:dyDescent="0.25">
      <c r="A483" s="51">
        <v>45987.999305497688</v>
      </c>
      <c r="B483">
        <v>617.9</v>
      </c>
      <c r="C483" s="38">
        <v>120</v>
      </c>
      <c r="D483" s="38">
        <v>131</v>
      </c>
      <c r="E483" s="56">
        <f t="shared" si="17"/>
        <v>4.716793893129771</v>
      </c>
      <c r="F483" s="48">
        <f t="shared" si="18"/>
        <v>0.19653307888040711</v>
      </c>
    </row>
    <row r="484" spans="1:6" x14ac:dyDescent="0.25">
      <c r="A484" s="51">
        <v>45988.999305497688</v>
      </c>
      <c r="B484">
        <v>572.1</v>
      </c>
      <c r="C484" s="38">
        <v>120</v>
      </c>
      <c r="D484" s="38">
        <v>131</v>
      </c>
      <c r="E484" s="56">
        <f t="shared" si="17"/>
        <v>4.3671755725190842</v>
      </c>
      <c r="F484" s="48">
        <f t="shared" si="18"/>
        <v>0.18196564885496183</v>
      </c>
    </row>
    <row r="485" spans="1:6" x14ac:dyDescent="0.25">
      <c r="A485" s="51">
        <v>45989.999305497688</v>
      </c>
      <c r="B485">
        <v>567.1</v>
      </c>
      <c r="C485" s="38">
        <v>120</v>
      </c>
      <c r="D485" s="38">
        <v>131</v>
      </c>
      <c r="E485" s="56">
        <f t="shared" si="17"/>
        <v>4.3290076335877865</v>
      </c>
      <c r="F485" s="48">
        <f t="shared" si="18"/>
        <v>0.18037531806615778</v>
      </c>
    </row>
    <row r="486" spans="1:6" x14ac:dyDescent="0.25">
      <c r="A486" s="51">
        <v>45990.999305497688</v>
      </c>
      <c r="B486">
        <v>525.79999999999995</v>
      </c>
      <c r="C486" s="38">
        <v>120</v>
      </c>
      <c r="D486" s="38">
        <v>131</v>
      </c>
      <c r="E486" s="56">
        <f t="shared" si="17"/>
        <v>4.0137404580152669</v>
      </c>
      <c r="F486" s="48">
        <f t="shared" si="18"/>
        <v>0.16723918575063612</v>
      </c>
    </row>
    <row r="487" spans="1:6" x14ac:dyDescent="0.25">
      <c r="A487" s="51">
        <v>45991.999305497688</v>
      </c>
      <c r="B487">
        <v>575.70000000000005</v>
      </c>
      <c r="C487" s="38">
        <v>120</v>
      </c>
      <c r="D487" s="38">
        <v>131</v>
      </c>
      <c r="E487" s="56">
        <f t="shared" si="17"/>
        <v>4.3946564885496189</v>
      </c>
      <c r="F487" s="48">
        <f t="shared" si="18"/>
        <v>0.18311068702290079</v>
      </c>
    </row>
    <row r="488" spans="1:6" x14ac:dyDescent="0.25">
      <c r="A488" s="51">
        <v>45992.999305497688</v>
      </c>
      <c r="B488" s="38"/>
      <c r="C488" s="38">
        <v>120</v>
      </c>
      <c r="D488" s="38">
        <v>131</v>
      </c>
      <c r="E488" s="56">
        <f t="shared" si="17"/>
        <v>0</v>
      </c>
      <c r="F488" s="48">
        <f t="shared" si="18"/>
        <v>0</v>
      </c>
    </row>
    <row r="489" spans="1:6" x14ac:dyDescent="0.25">
      <c r="A489" s="51">
        <v>45993.999305497688</v>
      </c>
      <c r="B489" s="38"/>
      <c r="C489" s="38">
        <v>120</v>
      </c>
      <c r="D489" s="38">
        <v>131</v>
      </c>
      <c r="E489" s="56">
        <f t="shared" si="17"/>
        <v>0</v>
      </c>
      <c r="F489" s="48">
        <f t="shared" si="18"/>
        <v>0</v>
      </c>
    </row>
    <row r="490" spans="1:6" x14ac:dyDescent="0.25">
      <c r="A490" s="51">
        <v>45994.999305497688</v>
      </c>
      <c r="B490" s="38"/>
      <c r="C490" s="38">
        <v>120</v>
      </c>
      <c r="D490" s="38">
        <v>131</v>
      </c>
      <c r="E490" s="56">
        <f t="shared" si="17"/>
        <v>0</v>
      </c>
      <c r="F490" s="48">
        <f t="shared" si="18"/>
        <v>0</v>
      </c>
    </row>
    <row r="491" spans="1:6" x14ac:dyDescent="0.25">
      <c r="A491" s="51">
        <v>45995.999305497688</v>
      </c>
      <c r="B491" s="38"/>
      <c r="C491" s="38">
        <v>120</v>
      </c>
      <c r="D491" s="38">
        <v>131</v>
      </c>
      <c r="E491" s="56">
        <f t="shared" si="17"/>
        <v>0</v>
      </c>
      <c r="F491" s="48">
        <f t="shared" si="18"/>
        <v>0</v>
      </c>
    </row>
    <row r="492" spans="1:6" x14ac:dyDescent="0.25">
      <c r="A492" s="51">
        <v>45996.999305497688</v>
      </c>
      <c r="B492" s="38"/>
      <c r="C492" s="38">
        <v>120</v>
      </c>
      <c r="D492" s="38">
        <v>131</v>
      </c>
      <c r="E492" s="56">
        <f t="shared" si="17"/>
        <v>0</v>
      </c>
      <c r="F492" s="48">
        <f t="shared" si="18"/>
        <v>0</v>
      </c>
    </row>
    <row r="493" spans="1:6" x14ac:dyDescent="0.25">
      <c r="A493" s="51">
        <v>45997.999305497688</v>
      </c>
      <c r="B493" s="38"/>
      <c r="C493" s="38">
        <v>120</v>
      </c>
      <c r="D493" s="38">
        <v>131</v>
      </c>
      <c r="E493" s="56">
        <f t="shared" si="17"/>
        <v>0</v>
      </c>
      <c r="F493" s="48">
        <f t="shared" si="18"/>
        <v>0</v>
      </c>
    </row>
    <row r="494" spans="1:6" x14ac:dyDescent="0.25">
      <c r="A494" s="51">
        <v>45998.999305497688</v>
      </c>
      <c r="B494" s="38"/>
      <c r="C494" s="38">
        <v>120</v>
      </c>
      <c r="D494" s="38">
        <v>131</v>
      </c>
      <c r="E494" s="56">
        <f t="shared" si="17"/>
        <v>0</v>
      </c>
      <c r="F494" s="48">
        <f t="shared" si="18"/>
        <v>0</v>
      </c>
    </row>
    <row r="495" spans="1:6" x14ac:dyDescent="0.25">
      <c r="A495" s="51">
        <v>45999.999305497688</v>
      </c>
      <c r="B495" s="38"/>
      <c r="C495" s="38">
        <v>120</v>
      </c>
      <c r="D495" s="38">
        <v>131</v>
      </c>
      <c r="E495" s="56">
        <f t="shared" si="17"/>
        <v>0</v>
      </c>
      <c r="F495" s="48">
        <f t="shared" si="18"/>
        <v>0</v>
      </c>
    </row>
    <row r="496" spans="1:6" x14ac:dyDescent="0.25">
      <c r="A496" s="51">
        <v>46000.999305497688</v>
      </c>
      <c r="B496" s="38"/>
      <c r="C496" s="38">
        <v>120</v>
      </c>
      <c r="D496" s="38">
        <v>131</v>
      </c>
      <c r="E496" s="56">
        <f t="shared" si="17"/>
        <v>0</v>
      </c>
      <c r="F496" s="48">
        <f t="shared" si="18"/>
        <v>0</v>
      </c>
    </row>
    <row r="497" spans="1:6" x14ac:dyDescent="0.25">
      <c r="A497" s="51">
        <v>46001.999305497688</v>
      </c>
      <c r="B497" s="38"/>
      <c r="C497" s="38">
        <v>120</v>
      </c>
      <c r="D497" s="38">
        <v>131</v>
      </c>
      <c r="E497" s="56">
        <f t="shared" si="17"/>
        <v>0</v>
      </c>
      <c r="F497" s="48">
        <f t="shared" si="18"/>
        <v>0</v>
      </c>
    </row>
    <row r="498" spans="1:6" x14ac:dyDescent="0.25">
      <c r="A498" s="51">
        <v>46002.999305497688</v>
      </c>
      <c r="B498" s="38"/>
      <c r="C498" s="38">
        <v>120</v>
      </c>
      <c r="D498" s="38">
        <v>131</v>
      </c>
      <c r="E498" s="56">
        <f t="shared" si="17"/>
        <v>0</v>
      </c>
      <c r="F498" s="48">
        <f t="shared" si="18"/>
        <v>0</v>
      </c>
    </row>
    <row r="499" spans="1:6" x14ac:dyDescent="0.25">
      <c r="A499" s="51">
        <v>46003.999305497688</v>
      </c>
      <c r="B499" s="38"/>
      <c r="C499" s="38">
        <v>120</v>
      </c>
      <c r="D499" s="38">
        <v>131</v>
      </c>
      <c r="E499" s="56">
        <f t="shared" ref="E499:E518" si="19">B499/D499</f>
        <v>0</v>
      </c>
      <c r="F499" s="48">
        <f t="shared" si="18"/>
        <v>0</v>
      </c>
    </row>
    <row r="500" spans="1:6" x14ac:dyDescent="0.25">
      <c r="A500" s="51">
        <v>46004.999305497688</v>
      </c>
      <c r="B500" s="38"/>
      <c r="C500" s="38">
        <v>120</v>
      </c>
      <c r="D500" s="38">
        <v>131</v>
      </c>
      <c r="E500" s="56">
        <f t="shared" si="19"/>
        <v>0</v>
      </c>
      <c r="F500" s="48">
        <f t="shared" si="18"/>
        <v>0</v>
      </c>
    </row>
    <row r="501" spans="1:6" x14ac:dyDescent="0.25">
      <c r="A501" s="51">
        <v>46005.999305497688</v>
      </c>
      <c r="B501" s="38"/>
      <c r="C501" s="38">
        <v>120</v>
      </c>
      <c r="D501" s="38">
        <v>131</v>
      </c>
      <c r="E501" s="56">
        <f t="shared" si="19"/>
        <v>0</v>
      </c>
      <c r="F501" s="48">
        <f t="shared" si="18"/>
        <v>0</v>
      </c>
    </row>
    <row r="502" spans="1:6" x14ac:dyDescent="0.25">
      <c r="A502" s="51">
        <v>46006.999305497688</v>
      </c>
      <c r="B502" s="38"/>
      <c r="C502" s="38">
        <v>120</v>
      </c>
      <c r="D502" s="38">
        <v>131</v>
      </c>
      <c r="E502" s="56">
        <f t="shared" si="19"/>
        <v>0</v>
      </c>
      <c r="F502" s="48">
        <f t="shared" si="18"/>
        <v>0</v>
      </c>
    </row>
    <row r="503" spans="1:6" x14ac:dyDescent="0.25">
      <c r="A503" s="51">
        <v>46007.999305497688</v>
      </c>
      <c r="B503" s="38"/>
      <c r="C503" s="38">
        <v>120</v>
      </c>
      <c r="D503" s="38">
        <v>131</v>
      </c>
      <c r="E503" s="56">
        <f t="shared" si="19"/>
        <v>0</v>
      </c>
      <c r="F503" s="48">
        <f t="shared" si="18"/>
        <v>0</v>
      </c>
    </row>
    <row r="504" spans="1:6" x14ac:dyDescent="0.25">
      <c r="A504" s="51">
        <v>46008.999305497688</v>
      </c>
      <c r="B504" s="38"/>
      <c r="C504" s="38">
        <v>120</v>
      </c>
      <c r="D504" s="38">
        <v>131</v>
      </c>
      <c r="E504" s="56">
        <f t="shared" si="19"/>
        <v>0</v>
      </c>
      <c r="F504" s="48">
        <f t="shared" si="18"/>
        <v>0</v>
      </c>
    </row>
    <row r="505" spans="1:6" x14ac:dyDescent="0.25">
      <c r="A505" s="51">
        <v>46009.999305497688</v>
      </c>
      <c r="B505" s="38"/>
      <c r="C505" s="38">
        <v>120</v>
      </c>
      <c r="D505" s="38">
        <v>131</v>
      </c>
      <c r="E505" s="56">
        <f t="shared" si="19"/>
        <v>0</v>
      </c>
      <c r="F505" s="48">
        <f t="shared" si="18"/>
        <v>0</v>
      </c>
    </row>
    <row r="506" spans="1:6" x14ac:dyDescent="0.25">
      <c r="A506" s="51">
        <v>46010.999305497688</v>
      </c>
      <c r="B506" s="38"/>
      <c r="C506" s="38">
        <v>120</v>
      </c>
      <c r="D506" s="38">
        <v>131</v>
      </c>
      <c r="E506" s="56">
        <f t="shared" si="19"/>
        <v>0</v>
      </c>
      <c r="F506" s="48">
        <f t="shared" si="18"/>
        <v>0</v>
      </c>
    </row>
    <row r="507" spans="1:6" x14ac:dyDescent="0.25">
      <c r="A507" s="51">
        <v>46011.999305497688</v>
      </c>
      <c r="B507" s="38"/>
      <c r="C507" s="38">
        <v>120</v>
      </c>
      <c r="D507" s="38">
        <v>131</v>
      </c>
      <c r="E507" s="56">
        <f t="shared" si="19"/>
        <v>0</v>
      </c>
      <c r="F507" s="48">
        <f t="shared" si="18"/>
        <v>0</v>
      </c>
    </row>
    <row r="508" spans="1:6" x14ac:dyDescent="0.25">
      <c r="A508" s="51">
        <v>46012.999305497688</v>
      </c>
      <c r="B508" s="38"/>
      <c r="C508" s="38">
        <v>120</v>
      </c>
      <c r="D508" s="38">
        <v>131</v>
      </c>
      <c r="E508" s="56">
        <f t="shared" si="19"/>
        <v>0</v>
      </c>
      <c r="F508" s="48">
        <f t="shared" si="18"/>
        <v>0</v>
      </c>
    </row>
    <row r="509" spans="1:6" x14ac:dyDescent="0.25">
      <c r="A509" s="51">
        <v>46013.999305497688</v>
      </c>
      <c r="B509" s="38"/>
      <c r="C509" s="38">
        <v>120</v>
      </c>
      <c r="D509" s="38">
        <v>131</v>
      </c>
      <c r="E509" s="56">
        <f t="shared" si="19"/>
        <v>0</v>
      </c>
      <c r="F509" s="48">
        <f t="shared" si="18"/>
        <v>0</v>
      </c>
    </row>
    <row r="510" spans="1:6" x14ac:dyDescent="0.25">
      <c r="A510" s="51">
        <v>46014.999305497688</v>
      </c>
      <c r="B510" s="38"/>
      <c r="C510" s="38">
        <v>120</v>
      </c>
      <c r="D510" s="38">
        <v>131</v>
      </c>
      <c r="E510" s="56">
        <f t="shared" si="19"/>
        <v>0</v>
      </c>
      <c r="F510" s="48">
        <f t="shared" si="18"/>
        <v>0</v>
      </c>
    </row>
    <row r="511" spans="1:6" x14ac:dyDescent="0.25">
      <c r="A511" s="51">
        <v>46015.999305497688</v>
      </c>
      <c r="B511" s="38"/>
      <c r="C511" s="38">
        <v>120</v>
      </c>
      <c r="D511" s="38">
        <v>131</v>
      </c>
      <c r="E511" s="56">
        <f t="shared" si="19"/>
        <v>0</v>
      </c>
      <c r="F511" s="48">
        <f t="shared" si="18"/>
        <v>0</v>
      </c>
    </row>
    <row r="512" spans="1:6" x14ac:dyDescent="0.25">
      <c r="A512" s="51">
        <v>46016.999305497688</v>
      </c>
      <c r="B512" s="38"/>
      <c r="C512" s="38">
        <v>120</v>
      </c>
      <c r="D512" s="38">
        <v>131</v>
      </c>
      <c r="E512" s="56">
        <f t="shared" si="19"/>
        <v>0</v>
      </c>
      <c r="F512" s="48">
        <f t="shared" si="18"/>
        <v>0</v>
      </c>
    </row>
    <row r="513" spans="1:6" x14ac:dyDescent="0.25">
      <c r="A513" s="51">
        <v>46017.999305497688</v>
      </c>
      <c r="B513" s="38"/>
      <c r="C513" s="38">
        <v>120</v>
      </c>
      <c r="D513" s="38">
        <v>131</v>
      </c>
      <c r="E513" s="56">
        <f t="shared" si="19"/>
        <v>0</v>
      </c>
      <c r="F513" s="48">
        <f t="shared" si="18"/>
        <v>0</v>
      </c>
    </row>
    <row r="514" spans="1:6" x14ac:dyDescent="0.25">
      <c r="A514" s="51">
        <v>46018.999305497688</v>
      </c>
      <c r="B514" s="38"/>
      <c r="C514" s="38">
        <v>120</v>
      </c>
      <c r="D514" s="38">
        <v>131</v>
      </c>
      <c r="E514" s="56">
        <f t="shared" si="19"/>
        <v>0</v>
      </c>
      <c r="F514" s="48">
        <f t="shared" si="18"/>
        <v>0</v>
      </c>
    </row>
    <row r="515" spans="1:6" x14ac:dyDescent="0.25">
      <c r="A515" s="51">
        <v>46019.999305497688</v>
      </c>
      <c r="B515" s="38"/>
      <c r="C515" s="38">
        <v>120</v>
      </c>
      <c r="D515" s="38">
        <v>131</v>
      </c>
      <c r="E515" s="56">
        <f t="shared" si="19"/>
        <v>0</v>
      </c>
      <c r="F515" s="48">
        <f t="shared" si="18"/>
        <v>0</v>
      </c>
    </row>
    <row r="516" spans="1:6" x14ac:dyDescent="0.25">
      <c r="A516" s="51">
        <v>46020.999305497688</v>
      </c>
      <c r="B516" s="38"/>
      <c r="C516" s="38">
        <v>120</v>
      </c>
      <c r="D516" s="38">
        <v>131</v>
      </c>
      <c r="E516" s="56">
        <f t="shared" si="19"/>
        <v>0</v>
      </c>
      <c r="F516" s="48">
        <f t="shared" ref="F516:F518" si="20">B516/(24*D516)</f>
        <v>0</v>
      </c>
    </row>
    <row r="517" spans="1:6" x14ac:dyDescent="0.25">
      <c r="A517" s="51">
        <v>46021.999305497688</v>
      </c>
      <c r="B517" s="38"/>
      <c r="C517" s="38">
        <v>120</v>
      </c>
      <c r="D517" s="38">
        <v>131</v>
      </c>
      <c r="E517" s="56">
        <f t="shared" si="19"/>
        <v>0</v>
      </c>
      <c r="F517" s="48">
        <f t="shared" si="20"/>
        <v>0</v>
      </c>
    </row>
    <row r="518" spans="1:6" x14ac:dyDescent="0.25">
      <c r="A518" s="51">
        <v>46022.999305497688</v>
      </c>
      <c r="B518" s="38"/>
      <c r="C518" s="38">
        <v>120</v>
      </c>
      <c r="D518" s="38">
        <v>131</v>
      </c>
      <c r="E518" s="56">
        <f t="shared" si="19"/>
        <v>0</v>
      </c>
      <c r="F518" s="48">
        <f t="shared" si="20"/>
        <v>0</v>
      </c>
    </row>
  </sheetData>
  <mergeCells count="4">
    <mergeCell ref="J47:L47"/>
    <mergeCell ref="Q1:R1"/>
    <mergeCell ref="Q21:R21"/>
    <mergeCell ref="J20:N20"/>
  </mergeCells>
  <phoneticPr fontId="1" type="noConversion"/>
  <hyperlinks>
    <hyperlink ref="O7" location="'CAD 1 2024-2025'!I55" display="clique aqui" xr:uid="{5C98A927-E2BB-40CF-B2EF-8959C94D7AA1}"/>
  </hyperlink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CF802-8796-4E75-8B05-5C30CB137170}">
  <sheetPr codeName="Planilha6"/>
  <dimension ref="A1:J879"/>
  <sheetViews>
    <sheetView workbookViewId="0">
      <selection activeCell="E28" sqref="E28"/>
    </sheetView>
  </sheetViews>
  <sheetFormatPr defaultRowHeight="15" x14ac:dyDescent="0.25"/>
  <cols>
    <col min="1" max="1" width="15.28515625" style="37" bestFit="1" customWidth="1"/>
    <col min="4" max="4" width="15.28515625" bestFit="1" customWidth="1"/>
    <col min="7" max="7" width="15.28515625" bestFit="1" customWidth="1"/>
    <col min="10" max="10" width="15.28515625" bestFit="1" customWidth="1"/>
  </cols>
  <sheetData>
    <row r="1" spans="1:2" x14ac:dyDescent="0.25">
      <c r="A1" s="74" t="s">
        <v>53</v>
      </c>
      <c r="B1" s="74"/>
    </row>
    <row r="2" spans="1:2" x14ac:dyDescent="0.25">
      <c r="A2" s="39" t="s">
        <v>37</v>
      </c>
      <c r="B2" s="38" t="s">
        <v>36</v>
      </c>
    </row>
    <row r="3" spans="1:2" x14ac:dyDescent="0.25">
      <c r="A3" s="39">
        <v>44927.420740740738</v>
      </c>
      <c r="B3" s="38" t="s">
        <v>31</v>
      </c>
    </row>
    <row r="4" spans="1:2" x14ac:dyDescent="0.25">
      <c r="A4" s="39">
        <v>44927.420856481483</v>
      </c>
      <c r="B4" s="38" t="s">
        <v>31</v>
      </c>
    </row>
    <row r="5" spans="1:2" x14ac:dyDescent="0.25">
      <c r="A5" s="39">
        <v>44927.557349537034</v>
      </c>
      <c r="B5" s="38" t="s">
        <v>31</v>
      </c>
    </row>
    <row r="6" spans="1:2" x14ac:dyDescent="0.25">
      <c r="A6" s="39">
        <v>44927.55746527778</v>
      </c>
      <c r="B6" s="38" t="s">
        <v>31</v>
      </c>
    </row>
    <row r="7" spans="1:2" x14ac:dyDescent="0.25">
      <c r="A7" s="39">
        <v>44927.557581018518</v>
      </c>
      <c r="B7" s="38" t="s">
        <v>31</v>
      </c>
    </row>
    <row r="8" spans="1:2" x14ac:dyDescent="0.25">
      <c r="A8" s="39">
        <v>44927.557696759257</v>
      </c>
      <c r="B8" s="38" t="s">
        <v>31</v>
      </c>
    </row>
    <row r="9" spans="1:2" x14ac:dyDescent="0.25">
      <c r="A9" s="39">
        <v>44927.557812500003</v>
      </c>
      <c r="B9" s="38" t="s">
        <v>31</v>
      </c>
    </row>
    <row r="10" spans="1:2" x14ac:dyDescent="0.25">
      <c r="A10" s="39">
        <v>44927.559548611112</v>
      </c>
      <c r="B10" s="38" t="s">
        <v>31</v>
      </c>
    </row>
    <row r="11" spans="1:2" x14ac:dyDescent="0.25">
      <c r="A11" s="39">
        <v>44927.559664351851</v>
      </c>
      <c r="B11" s="38" t="s">
        <v>31</v>
      </c>
    </row>
    <row r="12" spans="1:2" x14ac:dyDescent="0.25">
      <c r="A12" s="39">
        <v>44927.55978009259</v>
      </c>
      <c r="B12" s="38" t="s">
        <v>31</v>
      </c>
    </row>
    <row r="13" spans="1:2" x14ac:dyDescent="0.25">
      <c r="A13" s="39">
        <v>44927.559895833336</v>
      </c>
      <c r="B13" s="38" t="s">
        <v>31</v>
      </c>
    </row>
    <row r="14" spans="1:2" x14ac:dyDescent="0.25">
      <c r="A14" s="39">
        <v>44927.560011574074</v>
      </c>
      <c r="B14" s="38" t="s">
        <v>31</v>
      </c>
    </row>
    <row r="15" spans="1:2" x14ac:dyDescent="0.25">
      <c r="A15" s="39">
        <v>44927.560127314813</v>
      </c>
      <c r="B15" s="38" t="s">
        <v>31</v>
      </c>
    </row>
    <row r="16" spans="1:2" x14ac:dyDescent="0.25">
      <c r="A16" s="39">
        <v>44927.580729166664</v>
      </c>
      <c r="B16" s="38" t="s">
        <v>31</v>
      </c>
    </row>
    <row r="17" spans="1:2" x14ac:dyDescent="0.25">
      <c r="A17" s="39">
        <v>44927.58084490741</v>
      </c>
      <c r="B17" s="38" t="s">
        <v>31</v>
      </c>
    </row>
    <row r="18" spans="1:2" x14ac:dyDescent="0.25">
      <c r="A18" s="39">
        <v>44927.591157407405</v>
      </c>
      <c r="B18" s="38" t="s">
        <v>31</v>
      </c>
    </row>
    <row r="19" spans="1:2" x14ac:dyDescent="0.25">
      <c r="A19" s="39">
        <v>44928.390532407408</v>
      </c>
      <c r="B19" s="38" t="s">
        <v>31</v>
      </c>
    </row>
    <row r="20" spans="1:2" x14ac:dyDescent="0.25">
      <c r="A20" s="39">
        <v>44928.390648148146</v>
      </c>
      <c r="B20" s="38" t="s">
        <v>31</v>
      </c>
    </row>
    <row r="21" spans="1:2" x14ac:dyDescent="0.25">
      <c r="A21" s="39">
        <v>44928.390763888892</v>
      </c>
      <c r="B21" s="38" t="s">
        <v>31</v>
      </c>
    </row>
    <row r="22" spans="1:2" x14ac:dyDescent="0.25">
      <c r="A22" s="39">
        <v>44928.390879629631</v>
      </c>
      <c r="B22" s="38" t="s">
        <v>31</v>
      </c>
    </row>
    <row r="23" spans="1:2" x14ac:dyDescent="0.25">
      <c r="A23" s="39">
        <v>44928.39099537037</v>
      </c>
      <c r="B23" s="38" t="s">
        <v>31</v>
      </c>
    </row>
    <row r="24" spans="1:2" x14ac:dyDescent="0.25">
      <c r="A24" s="39">
        <v>44928.39203703704</v>
      </c>
      <c r="B24" s="38" t="s">
        <v>31</v>
      </c>
    </row>
    <row r="25" spans="1:2" x14ac:dyDescent="0.25">
      <c r="A25" s="39">
        <v>44928.392152777778</v>
      </c>
      <c r="B25" s="38" t="s">
        <v>31</v>
      </c>
    </row>
    <row r="26" spans="1:2" x14ac:dyDescent="0.25">
      <c r="A26" s="39">
        <v>44928.397141203706</v>
      </c>
      <c r="B26" s="38" t="s">
        <v>31</v>
      </c>
    </row>
    <row r="27" spans="1:2" x14ac:dyDescent="0.25">
      <c r="A27" s="39">
        <v>44928.397256944445</v>
      </c>
      <c r="B27" s="38" t="s">
        <v>31</v>
      </c>
    </row>
    <row r="28" spans="1:2" x14ac:dyDescent="0.25">
      <c r="A28" s="39">
        <v>44928.397372685184</v>
      </c>
      <c r="B28" s="38" t="s">
        <v>31</v>
      </c>
    </row>
    <row r="29" spans="1:2" x14ac:dyDescent="0.25">
      <c r="A29" s="39">
        <v>44928.397488425922</v>
      </c>
      <c r="B29" s="38" t="s">
        <v>31</v>
      </c>
    </row>
    <row r="30" spans="1:2" x14ac:dyDescent="0.25">
      <c r="A30" s="39">
        <v>44928.407557870371</v>
      </c>
      <c r="B30" s="38" t="s">
        <v>31</v>
      </c>
    </row>
    <row r="31" spans="1:2" x14ac:dyDescent="0.25">
      <c r="A31" s="39">
        <v>44928.407673611109</v>
      </c>
      <c r="B31" s="38" t="s">
        <v>31</v>
      </c>
    </row>
    <row r="32" spans="1:2" x14ac:dyDescent="0.25">
      <c r="A32" s="39">
        <v>44928.407789351855</v>
      </c>
      <c r="B32" s="38" t="s">
        <v>31</v>
      </c>
    </row>
    <row r="33" spans="1:2" x14ac:dyDescent="0.25">
      <c r="A33" s="39">
        <v>44928.416701388887</v>
      </c>
      <c r="B33" s="38" t="s">
        <v>31</v>
      </c>
    </row>
    <row r="34" spans="1:2" x14ac:dyDescent="0.25">
      <c r="A34" s="39">
        <v>44928.416817129626</v>
      </c>
      <c r="B34" s="38" t="s">
        <v>31</v>
      </c>
    </row>
    <row r="35" spans="1:2" x14ac:dyDescent="0.25">
      <c r="A35" s="39">
        <v>44928.416932870372</v>
      </c>
      <c r="B35" s="38" t="s">
        <v>31</v>
      </c>
    </row>
    <row r="36" spans="1:2" x14ac:dyDescent="0.25">
      <c r="A36" s="39">
        <v>44928.417048611111</v>
      </c>
      <c r="B36" s="38" t="s">
        <v>31</v>
      </c>
    </row>
    <row r="37" spans="1:2" x14ac:dyDescent="0.25">
      <c r="A37" s="39">
        <v>44928.417164351849</v>
      </c>
      <c r="B37" s="38" t="s">
        <v>31</v>
      </c>
    </row>
    <row r="38" spans="1:2" x14ac:dyDescent="0.25">
      <c r="A38" s="39">
        <v>44928.417280092595</v>
      </c>
      <c r="B38" s="38" t="s">
        <v>31</v>
      </c>
    </row>
    <row r="39" spans="1:2" x14ac:dyDescent="0.25">
      <c r="A39" s="39">
        <v>44928.417395833334</v>
      </c>
      <c r="B39" s="38" t="s">
        <v>31</v>
      </c>
    </row>
    <row r="40" spans="1:2" x14ac:dyDescent="0.25">
      <c r="A40" s="39">
        <v>44928.417511574073</v>
      </c>
      <c r="B40" s="38" t="s">
        <v>31</v>
      </c>
    </row>
    <row r="41" spans="1:2" x14ac:dyDescent="0.25">
      <c r="A41" s="39">
        <v>44928.417627314811</v>
      </c>
      <c r="B41" s="38" t="s">
        <v>31</v>
      </c>
    </row>
    <row r="42" spans="1:2" x14ac:dyDescent="0.25">
      <c r="A42" s="39">
        <v>44928.417743055557</v>
      </c>
      <c r="B42" s="38" t="s">
        <v>31</v>
      </c>
    </row>
    <row r="43" spans="1:2" x14ac:dyDescent="0.25">
      <c r="A43" s="39">
        <v>44928.417858796296</v>
      </c>
      <c r="B43" s="38" t="s">
        <v>31</v>
      </c>
    </row>
    <row r="44" spans="1:2" x14ac:dyDescent="0.25">
      <c r="A44" s="39">
        <v>44928.418090277781</v>
      </c>
      <c r="B44" s="38" t="s">
        <v>31</v>
      </c>
    </row>
    <row r="45" spans="1:2" x14ac:dyDescent="0.25">
      <c r="A45" s="39">
        <v>44928.418900462966</v>
      </c>
      <c r="B45" s="38" t="s">
        <v>31</v>
      </c>
    </row>
    <row r="46" spans="1:2" x14ac:dyDescent="0.25">
      <c r="A46" s="39">
        <v>44928.424224537041</v>
      </c>
      <c r="B46" s="38" t="s">
        <v>31</v>
      </c>
    </row>
    <row r="47" spans="1:2" x14ac:dyDescent="0.25">
      <c r="A47" s="39">
        <v>44928.424803240741</v>
      </c>
      <c r="B47" s="38" t="s">
        <v>31</v>
      </c>
    </row>
    <row r="48" spans="1:2" x14ac:dyDescent="0.25">
      <c r="A48" s="39">
        <v>44928.42491898148</v>
      </c>
      <c r="B48" s="38" t="s">
        <v>31</v>
      </c>
    </row>
    <row r="49" spans="1:2" x14ac:dyDescent="0.25">
      <c r="A49" s="39">
        <v>44928.425381944442</v>
      </c>
      <c r="B49" s="38" t="s">
        <v>31</v>
      </c>
    </row>
    <row r="50" spans="1:2" x14ac:dyDescent="0.25">
      <c r="A50" s="39">
        <v>44928.425613425927</v>
      </c>
      <c r="B50" s="38" t="s">
        <v>31</v>
      </c>
    </row>
    <row r="51" spans="1:2" x14ac:dyDescent="0.25">
      <c r="A51" s="39">
        <v>44928.425729166665</v>
      </c>
      <c r="B51" s="38" t="s">
        <v>31</v>
      </c>
    </row>
    <row r="52" spans="1:2" x14ac:dyDescent="0.25">
      <c r="A52" s="39">
        <v>44928.425844907404</v>
      </c>
      <c r="B52" s="38" t="s">
        <v>31</v>
      </c>
    </row>
    <row r="53" spans="1:2" x14ac:dyDescent="0.25">
      <c r="A53" s="39">
        <v>44928.426192129627</v>
      </c>
      <c r="B53" s="38" t="s">
        <v>31</v>
      </c>
    </row>
    <row r="54" spans="1:2" x14ac:dyDescent="0.25">
      <c r="A54" s="39">
        <v>44928.426307870373</v>
      </c>
      <c r="B54" s="38" t="s">
        <v>31</v>
      </c>
    </row>
    <row r="55" spans="1:2" x14ac:dyDescent="0.25">
      <c r="A55" s="39">
        <v>44928.426423611112</v>
      </c>
      <c r="B55" s="38" t="s">
        <v>31</v>
      </c>
    </row>
    <row r="56" spans="1:2" x14ac:dyDescent="0.25">
      <c r="A56" s="39">
        <v>44928.426655092589</v>
      </c>
      <c r="B56" s="38" t="s">
        <v>31</v>
      </c>
    </row>
    <row r="57" spans="1:2" x14ac:dyDescent="0.25">
      <c r="A57" s="39">
        <v>44928.426770833335</v>
      </c>
      <c r="B57" s="38" t="s">
        <v>31</v>
      </c>
    </row>
    <row r="58" spans="1:2" x14ac:dyDescent="0.25">
      <c r="A58" s="39">
        <v>44928.426886574074</v>
      </c>
      <c r="B58" s="38" t="s">
        <v>31</v>
      </c>
    </row>
    <row r="59" spans="1:2" x14ac:dyDescent="0.25">
      <c r="A59" s="39">
        <v>44928.427002314813</v>
      </c>
      <c r="B59" s="38" t="s">
        <v>31</v>
      </c>
    </row>
    <row r="60" spans="1:2" x14ac:dyDescent="0.25">
      <c r="A60" s="39">
        <v>44928.427118055559</v>
      </c>
      <c r="B60" s="38" t="s">
        <v>31</v>
      </c>
    </row>
    <row r="61" spans="1:2" x14ac:dyDescent="0.25">
      <c r="A61" s="39">
        <v>44928.427233796298</v>
      </c>
      <c r="B61" s="38" t="s">
        <v>31</v>
      </c>
    </row>
    <row r="62" spans="1:2" x14ac:dyDescent="0.25">
      <c r="A62" s="39">
        <v>44928.427349537036</v>
      </c>
      <c r="B62" s="38" t="s">
        <v>31</v>
      </c>
    </row>
    <row r="63" spans="1:2" x14ac:dyDescent="0.25">
      <c r="A63" s="39">
        <v>44928.427465277775</v>
      </c>
      <c r="B63" s="38" t="s">
        <v>31</v>
      </c>
    </row>
    <row r="64" spans="1:2" x14ac:dyDescent="0.25">
      <c r="A64" s="39">
        <v>44928.427581018521</v>
      </c>
      <c r="B64" s="38" t="s">
        <v>31</v>
      </c>
    </row>
    <row r="65" spans="1:2" x14ac:dyDescent="0.25">
      <c r="A65" s="39">
        <v>44928.42769675926</v>
      </c>
      <c r="B65" s="38" t="s">
        <v>31</v>
      </c>
    </row>
    <row r="66" spans="1:2" x14ac:dyDescent="0.25">
      <c r="A66" s="39">
        <v>44928.464166666665</v>
      </c>
      <c r="B66" s="38" t="s">
        <v>31</v>
      </c>
    </row>
    <row r="67" spans="1:2" x14ac:dyDescent="0.25">
      <c r="A67" s="39">
        <v>44928.464282407411</v>
      </c>
      <c r="B67" s="38" t="s">
        <v>31</v>
      </c>
    </row>
    <row r="68" spans="1:2" x14ac:dyDescent="0.25">
      <c r="A68" s="39">
        <v>44928.543587962966</v>
      </c>
      <c r="B68" s="38" t="s">
        <v>31</v>
      </c>
    </row>
    <row r="69" spans="1:2" x14ac:dyDescent="0.25">
      <c r="A69" s="39">
        <v>44928.546597222223</v>
      </c>
      <c r="B69" s="38" t="s">
        <v>31</v>
      </c>
    </row>
    <row r="70" spans="1:2" x14ac:dyDescent="0.25">
      <c r="A70" s="39">
        <v>44928.546712962961</v>
      </c>
      <c r="B70" s="38" t="s">
        <v>31</v>
      </c>
    </row>
    <row r="71" spans="1:2" x14ac:dyDescent="0.25">
      <c r="A71" s="39">
        <v>44928.546944444446</v>
      </c>
      <c r="B71" s="38" t="s">
        <v>31</v>
      </c>
    </row>
    <row r="72" spans="1:2" x14ac:dyDescent="0.25">
      <c r="A72" s="39">
        <v>44928.547060185185</v>
      </c>
      <c r="B72" s="38" t="s">
        <v>31</v>
      </c>
    </row>
    <row r="73" spans="1:2" x14ac:dyDescent="0.25">
      <c r="A73" s="39">
        <v>44928.547175925924</v>
      </c>
      <c r="B73" s="38" t="s">
        <v>31</v>
      </c>
    </row>
    <row r="74" spans="1:2" x14ac:dyDescent="0.25">
      <c r="A74" s="39">
        <v>44928.550763888888</v>
      </c>
      <c r="B74" s="38" t="s">
        <v>31</v>
      </c>
    </row>
    <row r="75" spans="1:2" x14ac:dyDescent="0.25">
      <c r="A75" s="39">
        <v>44928.550879629627</v>
      </c>
      <c r="B75" s="38" t="s">
        <v>31</v>
      </c>
    </row>
    <row r="76" spans="1:2" x14ac:dyDescent="0.25">
      <c r="A76" s="39">
        <v>44928.551342592589</v>
      </c>
      <c r="B76" s="38" t="s">
        <v>31</v>
      </c>
    </row>
    <row r="77" spans="1:2" x14ac:dyDescent="0.25">
      <c r="A77" s="39">
        <v>44928.551458333335</v>
      </c>
      <c r="B77" s="38" t="s">
        <v>31</v>
      </c>
    </row>
    <row r="78" spans="1:2" x14ac:dyDescent="0.25">
      <c r="A78" s="39">
        <v>44928.551689814813</v>
      </c>
      <c r="B78" s="38" t="s">
        <v>31</v>
      </c>
    </row>
    <row r="79" spans="1:2" x14ac:dyDescent="0.25">
      <c r="A79" s="39">
        <v>44928.551805555559</v>
      </c>
      <c r="B79" s="38" t="s">
        <v>31</v>
      </c>
    </row>
    <row r="80" spans="1:2" x14ac:dyDescent="0.25">
      <c r="A80" s="39">
        <v>44928.551921296297</v>
      </c>
      <c r="B80" s="38" t="s">
        <v>31</v>
      </c>
    </row>
    <row r="81" spans="1:2" x14ac:dyDescent="0.25">
      <c r="A81" s="39">
        <v>44928.552037037036</v>
      </c>
      <c r="B81" s="38" t="s">
        <v>31</v>
      </c>
    </row>
    <row r="82" spans="1:2" x14ac:dyDescent="0.25">
      <c r="A82" s="39">
        <v>44928.558518518519</v>
      </c>
      <c r="B82" s="38" t="s">
        <v>31</v>
      </c>
    </row>
    <row r="83" spans="1:2" x14ac:dyDescent="0.25">
      <c r="A83" s="39">
        <v>44928.559675925928</v>
      </c>
      <c r="B83" s="38" t="s">
        <v>31</v>
      </c>
    </row>
    <row r="84" spans="1:2" x14ac:dyDescent="0.25">
      <c r="A84" s="39">
        <v>44928.559791666667</v>
      </c>
      <c r="B84" s="38" t="s">
        <v>31</v>
      </c>
    </row>
    <row r="85" spans="1:2" x14ac:dyDescent="0.25">
      <c r="A85" s="39">
        <v>44928.559907407405</v>
      </c>
      <c r="B85" s="38" t="s">
        <v>31</v>
      </c>
    </row>
    <row r="86" spans="1:2" x14ac:dyDescent="0.25">
      <c r="A86" s="39">
        <v>44928.563611111109</v>
      </c>
      <c r="B86" s="38" t="s">
        <v>31</v>
      </c>
    </row>
    <row r="87" spans="1:2" x14ac:dyDescent="0.25">
      <c r="A87" s="39">
        <v>44928.563726851855</v>
      </c>
      <c r="B87" s="38" t="s">
        <v>31</v>
      </c>
    </row>
    <row r="88" spans="1:2" x14ac:dyDescent="0.25">
      <c r="A88" s="39">
        <v>44928.563842592594</v>
      </c>
      <c r="B88" s="38" t="s">
        <v>31</v>
      </c>
    </row>
    <row r="89" spans="1:2" x14ac:dyDescent="0.25">
      <c r="A89" s="39">
        <v>44928.563958333332</v>
      </c>
      <c r="B89" s="38" t="s">
        <v>31</v>
      </c>
    </row>
    <row r="90" spans="1:2" x14ac:dyDescent="0.25">
      <c r="A90" s="39">
        <v>44928.564768518518</v>
      </c>
      <c r="B90" s="38" t="s">
        <v>31</v>
      </c>
    </row>
    <row r="91" spans="1:2" x14ac:dyDescent="0.25">
      <c r="A91" s="39">
        <v>44928.581319444442</v>
      </c>
      <c r="B91" s="38" t="s">
        <v>31</v>
      </c>
    </row>
    <row r="92" spans="1:2" x14ac:dyDescent="0.25">
      <c r="A92" s="39">
        <v>44929.489270833335</v>
      </c>
      <c r="B92" s="38" t="s">
        <v>31</v>
      </c>
    </row>
    <row r="93" spans="1:2" x14ac:dyDescent="0.25">
      <c r="A93" s="39">
        <v>44929.489502314813</v>
      </c>
      <c r="B93" s="38" t="s">
        <v>31</v>
      </c>
    </row>
    <row r="94" spans="1:2" x14ac:dyDescent="0.25">
      <c r="A94" s="39">
        <v>44929.497604166667</v>
      </c>
      <c r="B94" s="38" t="s">
        <v>31</v>
      </c>
    </row>
    <row r="95" spans="1:2" x14ac:dyDescent="0.25">
      <c r="A95" s="39">
        <v>44929.497719907406</v>
      </c>
      <c r="B95" s="38" t="s">
        <v>31</v>
      </c>
    </row>
    <row r="96" spans="1:2" x14ac:dyDescent="0.25">
      <c r="A96" s="39">
        <v>44929.498182870368</v>
      </c>
      <c r="B96" s="38" t="s">
        <v>31</v>
      </c>
    </row>
    <row r="97" spans="1:2" x14ac:dyDescent="0.25">
      <c r="A97" s="39">
        <v>44930.424340277779</v>
      </c>
      <c r="B97" s="38" t="s">
        <v>31</v>
      </c>
    </row>
    <row r="98" spans="1:2" x14ac:dyDescent="0.25">
      <c r="A98" s="39">
        <v>44930.42491898148</v>
      </c>
      <c r="B98" s="38" t="s">
        <v>31</v>
      </c>
    </row>
    <row r="99" spans="1:2" x14ac:dyDescent="0.25">
      <c r="A99" s="39">
        <v>44930.425034722219</v>
      </c>
      <c r="B99" s="38" t="s">
        <v>31</v>
      </c>
    </row>
    <row r="100" spans="1:2" x14ac:dyDescent="0.25">
      <c r="A100" s="39">
        <v>44930.427002314813</v>
      </c>
      <c r="B100" s="38" t="s">
        <v>31</v>
      </c>
    </row>
    <row r="101" spans="1:2" x14ac:dyDescent="0.25">
      <c r="A101" s="39">
        <v>44930.427928240744</v>
      </c>
      <c r="B101" s="38" t="s">
        <v>31</v>
      </c>
    </row>
    <row r="102" spans="1:2" x14ac:dyDescent="0.25">
      <c r="A102" s="39">
        <v>44930.433252314811</v>
      </c>
      <c r="B102" s="38" t="s">
        <v>31</v>
      </c>
    </row>
    <row r="103" spans="1:2" x14ac:dyDescent="0.25">
      <c r="A103" s="39">
        <v>44930.433831018519</v>
      </c>
      <c r="B103" s="38" t="s">
        <v>31</v>
      </c>
    </row>
    <row r="104" spans="1:2" x14ac:dyDescent="0.25">
      <c r="A104" s="39">
        <v>44930.440659722219</v>
      </c>
      <c r="B104" s="38" t="s">
        <v>31</v>
      </c>
    </row>
    <row r="105" spans="1:2" x14ac:dyDescent="0.25">
      <c r="A105" s="39">
        <v>44930.440775462965</v>
      </c>
      <c r="B105" s="38" t="s">
        <v>31</v>
      </c>
    </row>
    <row r="106" spans="1:2" x14ac:dyDescent="0.25">
      <c r="A106" s="39">
        <v>44930.443912037037</v>
      </c>
      <c r="B106" s="38" t="s">
        <v>31</v>
      </c>
    </row>
    <row r="107" spans="1:2" x14ac:dyDescent="0.25">
      <c r="A107" s="39">
        <v>44930.445300925923</v>
      </c>
      <c r="B107" s="38" t="s">
        <v>31</v>
      </c>
    </row>
    <row r="108" spans="1:2" x14ac:dyDescent="0.25">
      <c r="A108" s="39">
        <v>44930.447847222225</v>
      </c>
      <c r="B108" s="38" t="s">
        <v>31</v>
      </c>
    </row>
    <row r="109" spans="1:2" x14ac:dyDescent="0.25">
      <c r="A109" s="39">
        <v>44930.447962962964</v>
      </c>
      <c r="B109" s="38" t="s">
        <v>31</v>
      </c>
    </row>
    <row r="110" spans="1:2" x14ac:dyDescent="0.25">
      <c r="A110" s="39">
        <v>44930.448078703703</v>
      </c>
      <c r="B110" s="38" t="s">
        <v>31</v>
      </c>
    </row>
    <row r="111" spans="1:2" x14ac:dyDescent="0.25">
      <c r="A111" s="39">
        <v>44930.448194444441</v>
      </c>
      <c r="B111" s="38" t="s">
        <v>31</v>
      </c>
    </row>
    <row r="112" spans="1:2" x14ac:dyDescent="0.25">
      <c r="A112" s="39">
        <v>44930.448310185187</v>
      </c>
      <c r="B112" s="38" t="s">
        <v>31</v>
      </c>
    </row>
    <row r="113" spans="1:2" x14ac:dyDescent="0.25">
      <c r="A113" s="39">
        <v>44930.448425925926</v>
      </c>
      <c r="B113" s="38" t="s">
        <v>31</v>
      </c>
    </row>
    <row r="114" spans="1:2" x14ac:dyDescent="0.25">
      <c r="A114" s="39">
        <v>44930.448773148149</v>
      </c>
      <c r="B114" s="38" t="s">
        <v>31</v>
      </c>
    </row>
    <row r="115" spans="1:2" x14ac:dyDescent="0.25">
      <c r="A115" s="39">
        <v>44930.448888888888</v>
      </c>
      <c r="B115" s="38" t="s">
        <v>31</v>
      </c>
    </row>
    <row r="116" spans="1:2" x14ac:dyDescent="0.25">
      <c r="A116" s="39">
        <v>44930.449120370373</v>
      </c>
      <c r="B116" s="38" t="s">
        <v>31</v>
      </c>
    </row>
    <row r="117" spans="1:2" x14ac:dyDescent="0.25">
      <c r="A117" s="39">
        <v>44930.455138888887</v>
      </c>
      <c r="B117" s="38" t="s">
        <v>31</v>
      </c>
    </row>
    <row r="118" spans="1:2" x14ac:dyDescent="0.25">
      <c r="A118" s="39">
        <v>44930.491840277777</v>
      </c>
      <c r="B118" s="38" t="s">
        <v>31</v>
      </c>
    </row>
    <row r="119" spans="1:2" x14ac:dyDescent="0.25">
      <c r="A119" s="39">
        <v>44930.491956018515</v>
      </c>
      <c r="B119" s="38" t="s">
        <v>31</v>
      </c>
    </row>
    <row r="120" spans="1:2" x14ac:dyDescent="0.25">
      <c r="A120" s="39">
        <v>44933.464166666665</v>
      </c>
      <c r="B120" s="38" t="s">
        <v>31</v>
      </c>
    </row>
    <row r="121" spans="1:2" x14ac:dyDescent="0.25">
      <c r="A121" s="39">
        <v>44933.464282407411</v>
      </c>
      <c r="B121" s="38" t="s">
        <v>31</v>
      </c>
    </row>
    <row r="122" spans="1:2" x14ac:dyDescent="0.25">
      <c r="A122" s="39">
        <v>44933.474004629628</v>
      </c>
      <c r="B122" s="38" t="s">
        <v>31</v>
      </c>
    </row>
    <row r="123" spans="1:2" x14ac:dyDescent="0.25">
      <c r="A123" s="39">
        <v>44933.474583333336</v>
      </c>
      <c r="B123" s="38" t="s">
        <v>31</v>
      </c>
    </row>
    <row r="124" spans="1:2" x14ac:dyDescent="0.25">
      <c r="A124" s="39">
        <v>44933.474699074075</v>
      </c>
      <c r="B124" s="38" t="s">
        <v>31</v>
      </c>
    </row>
    <row r="125" spans="1:2" x14ac:dyDescent="0.25">
      <c r="A125" s="39">
        <v>44933.474814814814</v>
      </c>
      <c r="B125" s="38" t="s">
        <v>31</v>
      </c>
    </row>
    <row r="126" spans="1:2" x14ac:dyDescent="0.25">
      <c r="A126" s="39">
        <v>44933.474930555552</v>
      </c>
      <c r="B126" s="38" t="s">
        <v>31</v>
      </c>
    </row>
    <row r="127" spans="1:2" x14ac:dyDescent="0.25">
      <c r="A127" s="39">
        <v>44933.475046296298</v>
      </c>
      <c r="B127" s="38" t="s">
        <v>31</v>
      </c>
    </row>
    <row r="128" spans="1:2" x14ac:dyDescent="0.25">
      <c r="A128" s="39">
        <v>44933.475162037037</v>
      </c>
      <c r="B128" s="38" t="s">
        <v>31</v>
      </c>
    </row>
    <row r="129" spans="1:2" x14ac:dyDescent="0.25">
      <c r="A129" s="39">
        <v>44933.475277777776</v>
      </c>
      <c r="B129" s="38" t="s">
        <v>31</v>
      </c>
    </row>
    <row r="130" spans="1:2" x14ac:dyDescent="0.25">
      <c r="A130" s="39">
        <v>44933.47550925926</v>
      </c>
      <c r="B130" s="38" t="s">
        <v>31</v>
      </c>
    </row>
    <row r="131" spans="1:2" x14ac:dyDescent="0.25">
      <c r="A131" s="39">
        <v>44933.491249999999</v>
      </c>
      <c r="B131" s="38" t="s">
        <v>31</v>
      </c>
    </row>
    <row r="132" spans="1:2" x14ac:dyDescent="0.25">
      <c r="A132" s="39">
        <v>44933.491365740738</v>
      </c>
      <c r="B132" s="38" t="s">
        <v>31</v>
      </c>
    </row>
    <row r="133" spans="1:2" x14ac:dyDescent="0.25">
      <c r="A133" s="39">
        <v>44933.528414351851</v>
      </c>
      <c r="B133" s="38" t="s">
        <v>31</v>
      </c>
    </row>
    <row r="134" spans="1:2" x14ac:dyDescent="0.25">
      <c r="A134" s="39">
        <v>44933.531076388892</v>
      </c>
      <c r="B134" s="38" t="s">
        <v>31</v>
      </c>
    </row>
    <row r="135" spans="1:2" x14ac:dyDescent="0.25">
      <c r="A135" s="39">
        <v>44933.531192129631</v>
      </c>
      <c r="B135" s="38" t="s">
        <v>31</v>
      </c>
    </row>
    <row r="136" spans="1:2" x14ac:dyDescent="0.25">
      <c r="A136" s="39">
        <v>44933.531307870369</v>
      </c>
      <c r="B136" s="38" t="s">
        <v>31</v>
      </c>
    </row>
    <row r="137" spans="1:2" x14ac:dyDescent="0.25">
      <c r="A137" s="39">
        <v>44933.531423611108</v>
      </c>
      <c r="B137" s="38" t="s">
        <v>31</v>
      </c>
    </row>
    <row r="138" spans="1:2" x14ac:dyDescent="0.25">
      <c r="A138" s="39">
        <v>44933.531539351854</v>
      </c>
      <c r="B138" s="38" t="s">
        <v>31</v>
      </c>
    </row>
    <row r="139" spans="1:2" x14ac:dyDescent="0.25">
      <c r="A139" s="39">
        <v>44933.536516203705</v>
      </c>
      <c r="B139" s="38" t="s">
        <v>31</v>
      </c>
    </row>
    <row r="140" spans="1:2" x14ac:dyDescent="0.25">
      <c r="A140" s="39">
        <v>44933.536631944444</v>
      </c>
      <c r="B140" s="38" t="s">
        <v>31</v>
      </c>
    </row>
    <row r="141" spans="1:2" x14ac:dyDescent="0.25">
      <c r="A141" s="39">
        <v>44933.536747685182</v>
      </c>
      <c r="B141" s="38" t="s">
        <v>31</v>
      </c>
    </row>
    <row r="142" spans="1:2" x14ac:dyDescent="0.25">
      <c r="A142" s="39">
        <v>44933.536863425928</v>
      </c>
      <c r="B142" s="38" t="s">
        <v>31</v>
      </c>
    </row>
    <row r="143" spans="1:2" x14ac:dyDescent="0.25">
      <c r="A143" s="39">
        <v>44933.538032407407</v>
      </c>
      <c r="B143" s="38" t="s">
        <v>31</v>
      </c>
    </row>
    <row r="144" spans="1:2" x14ac:dyDescent="0.25">
      <c r="A144" s="39">
        <v>44933.54347222222</v>
      </c>
      <c r="B144" s="38" t="s">
        <v>31</v>
      </c>
    </row>
    <row r="145" spans="1:2" x14ac:dyDescent="0.25">
      <c r="A145" s="39">
        <v>44933.544282407405</v>
      </c>
      <c r="B145" s="38" t="s">
        <v>31</v>
      </c>
    </row>
    <row r="146" spans="1:2" x14ac:dyDescent="0.25">
      <c r="A146" s="39">
        <v>44933.544398148151</v>
      </c>
      <c r="B146" s="38" t="s">
        <v>31</v>
      </c>
    </row>
    <row r="147" spans="1:2" x14ac:dyDescent="0.25">
      <c r="A147" s="39">
        <v>44933.545439814814</v>
      </c>
      <c r="B147" s="38" t="s">
        <v>31</v>
      </c>
    </row>
    <row r="148" spans="1:2" x14ac:dyDescent="0.25">
      <c r="A148" s="39">
        <v>44933.545555555553</v>
      </c>
      <c r="B148" s="38" t="s">
        <v>31</v>
      </c>
    </row>
    <row r="149" spans="1:2" x14ac:dyDescent="0.25">
      <c r="A149" s="39">
        <v>44933.545671296299</v>
      </c>
      <c r="B149" s="38" t="s">
        <v>31</v>
      </c>
    </row>
    <row r="150" spans="1:2" x14ac:dyDescent="0.25">
      <c r="A150" s="39">
        <v>44933.545787037037</v>
      </c>
      <c r="B150" s="38" t="s">
        <v>31</v>
      </c>
    </row>
    <row r="151" spans="1:2" x14ac:dyDescent="0.25">
      <c r="A151" s="39">
        <v>44933.545902777776</v>
      </c>
      <c r="B151" s="38" t="s">
        <v>31</v>
      </c>
    </row>
    <row r="152" spans="1:2" x14ac:dyDescent="0.25">
      <c r="A152" s="39">
        <v>44933.546018518522</v>
      </c>
      <c r="B152" s="38" t="s">
        <v>31</v>
      </c>
    </row>
    <row r="153" spans="1:2" x14ac:dyDescent="0.25">
      <c r="A153" s="39">
        <v>44933.546134259261</v>
      </c>
      <c r="B153" s="38" t="s">
        <v>31</v>
      </c>
    </row>
    <row r="154" spans="1:2" x14ac:dyDescent="0.25">
      <c r="A154" s="39">
        <v>44933.546249999999</v>
      </c>
      <c r="B154" s="38" t="s">
        <v>31</v>
      </c>
    </row>
    <row r="155" spans="1:2" x14ac:dyDescent="0.25">
      <c r="A155" s="39">
        <v>44933.546365740738</v>
      </c>
      <c r="B155" s="38" t="s">
        <v>31</v>
      </c>
    </row>
    <row r="156" spans="1:2" x14ac:dyDescent="0.25">
      <c r="A156" s="39">
        <v>44933.546481481484</v>
      </c>
      <c r="B156" s="38" t="s">
        <v>31</v>
      </c>
    </row>
    <row r="157" spans="1:2" x14ac:dyDescent="0.25">
      <c r="A157" s="39">
        <v>44933.546597222223</v>
      </c>
      <c r="B157" s="38" t="s">
        <v>31</v>
      </c>
    </row>
    <row r="158" spans="1:2" x14ac:dyDescent="0.25">
      <c r="A158" s="39">
        <v>44935.424675925926</v>
      </c>
      <c r="B158" s="38" t="s">
        <v>31</v>
      </c>
    </row>
    <row r="159" spans="1:2" x14ac:dyDescent="0.25">
      <c r="A159" s="39">
        <v>44935.424907407411</v>
      </c>
      <c r="B159" s="38" t="s">
        <v>31</v>
      </c>
    </row>
    <row r="160" spans="1:2" x14ac:dyDescent="0.25">
      <c r="A160" s="39">
        <v>44935.425023148149</v>
      </c>
      <c r="B160" s="38" t="s">
        <v>31</v>
      </c>
    </row>
    <row r="161" spans="1:2" x14ac:dyDescent="0.25">
      <c r="A161" s="39">
        <v>44935.426759259259</v>
      </c>
      <c r="B161" s="38" t="s">
        <v>31</v>
      </c>
    </row>
    <row r="162" spans="1:2" x14ac:dyDescent="0.25">
      <c r="A162" s="39">
        <v>44935.426874999997</v>
      </c>
      <c r="B162" s="38" t="s">
        <v>31</v>
      </c>
    </row>
    <row r="163" spans="1:2" x14ac:dyDescent="0.25">
      <c r="A163" s="39">
        <v>44935.537453703706</v>
      </c>
      <c r="B163" s="38" t="s">
        <v>31</v>
      </c>
    </row>
    <row r="164" spans="1:2" x14ac:dyDescent="0.25">
      <c r="A164" s="39">
        <v>44935.537569444445</v>
      </c>
      <c r="B164" s="38" t="s">
        <v>31</v>
      </c>
    </row>
    <row r="165" spans="1:2" x14ac:dyDescent="0.25">
      <c r="A165" s="39">
        <v>44935.542199074072</v>
      </c>
      <c r="B165" s="38" t="s">
        <v>31</v>
      </c>
    </row>
    <row r="166" spans="1:2" x14ac:dyDescent="0.25">
      <c r="A166" s="39">
        <v>44935.542662037034</v>
      </c>
      <c r="B166" s="38" t="s">
        <v>31</v>
      </c>
    </row>
    <row r="167" spans="1:2" x14ac:dyDescent="0.25">
      <c r="A167" s="39">
        <v>44941.521944444445</v>
      </c>
      <c r="B167" s="38" t="s">
        <v>31</v>
      </c>
    </row>
    <row r="168" spans="1:2" x14ac:dyDescent="0.25">
      <c r="A168" s="39">
        <v>44941.522060185183</v>
      </c>
      <c r="B168" s="38" t="s">
        <v>31</v>
      </c>
    </row>
    <row r="169" spans="1:2" x14ac:dyDescent="0.25">
      <c r="A169" s="39">
        <v>44941.52275462963</v>
      </c>
      <c r="B169" s="38" t="s">
        <v>31</v>
      </c>
    </row>
    <row r="170" spans="1:2" x14ac:dyDescent="0.25">
      <c r="A170" s="39">
        <v>44941.522870370369</v>
      </c>
      <c r="B170" s="38" t="s">
        <v>31</v>
      </c>
    </row>
    <row r="171" spans="1:2" x14ac:dyDescent="0.25">
      <c r="A171" s="39">
        <v>44941.530856481484</v>
      </c>
      <c r="B171" s="38" t="s">
        <v>31</v>
      </c>
    </row>
    <row r="172" spans="1:2" x14ac:dyDescent="0.25">
      <c r="A172" s="39">
        <v>44943.411689814813</v>
      </c>
      <c r="B172" s="38" t="s">
        <v>31</v>
      </c>
    </row>
    <row r="173" spans="1:2" x14ac:dyDescent="0.25">
      <c r="A173" s="39">
        <v>44948.459409722222</v>
      </c>
      <c r="B173" s="38" t="s">
        <v>31</v>
      </c>
    </row>
    <row r="174" spans="1:2" x14ac:dyDescent="0.25">
      <c r="A174" s="39">
        <v>44948.472604166665</v>
      </c>
      <c r="B174" s="38" t="s">
        <v>31</v>
      </c>
    </row>
    <row r="175" spans="1:2" x14ac:dyDescent="0.25">
      <c r="A175" s="39">
        <v>44948.472719907404</v>
      </c>
      <c r="B175" s="38" t="s">
        <v>31</v>
      </c>
    </row>
    <row r="176" spans="1:2" x14ac:dyDescent="0.25">
      <c r="A176" s="39">
        <v>44948.47283564815</v>
      </c>
      <c r="B176" s="38" t="s">
        <v>31</v>
      </c>
    </row>
    <row r="177" spans="1:2" x14ac:dyDescent="0.25">
      <c r="A177" s="39">
        <v>44948.472951388889</v>
      </c>
      <c r="B177" s="38" t="s">
        <v>31</v>
      </c>
    </row>
    <row r="178" spans="1:2" x14ac:dyDescent="0.25">
      <c r="A178" s="39">
        <v>44948.473067129627</v>
      </c>
      <c r="B178" s="38" t="s">
        <v>31</v>
      </c>
    </row>
    <row r="179" spans="1:2" x14ac:dyDescent="0.25">
      <c r="A179" s="39">
        <v>44948.473182870373</v>
      </c>
      <c r="B179" s="38" t="s">
        <v>31</v>
      </c>
    </row>
    <row r="180" spans="1:2" x14ac:dyDescent="0.25">
      <c r="A180" s="39">
        <v>44948.473298611112</v>
      </c>
      <c r="B180" s="38" t="s">
        <v>31</v>
      </c>
    </row>
    <row r="181" spans="1:2" x14ac:dyDescent="0.25">
      <c r="A181" s="39">
        <v>44948.473414351851</v>
      </c>
      <c r="B181" s="38" t="s">
        <v>31</v>
      </c>
    </row>
    <row r="182" spans="1:2" x14ac:dyDescent="0.25">
      <c r="A182" s="39">
        <v>44948.473645833335</v>
      </c>
      <c r="B182" s="38" t="s">
        <v>31</v>
      </c>
    </row>
    <row r="183" spans="1:2" x14ac:dyDescent="0.25">
      <c r="A183" s="39">
        <v>44948.473761574074</v>
      </c>
      <c r="B183" s="38" t="s">
        <v>31</v>
      </c>
    </row>
    <row r="184" spans="1:2" x14ac:dyDescent="0.25">
      <c r="A184" s="39">
        <v>44948.473877314813</v>
      </c>
      <c r="B184" s="38" t="s">
        <v>31</v>
      </c>
    </row>
    <row r="185" spans="1:2" x14ac:dyDescent="0.25">
      <c r="A185" s="39">
        <v>44948.475497685184</v>
      </c>
      <c r="B185" s="38" t="s">
        <v>31</v>
      </c>
    </row>
    <row r="186" spans="1:2" x14ac:dyDescent="0.25">
      <c r="A186" s="39">
        <v>44948.476076388892</v>
      </c>
      <c r="B186" s="38" t="s">
        <v>31</v>
      </c>
    </row>
    <row r="187" spans="1:2" x14ac:dyDescent="0.25">
      <c r="A187" s="39">
        <v>44948.47619212963</v>
      </c>
      <c r="B187" s="38" t="s">
        <v>31</v>
      </c>
    </row>
    <row r="188" spans="1:2" x14ac:dyDescent="0.25">
      <c r="A188" s="39">
        <v>44948.476307870369</v>
      </c>
      <c r="B188" s="38" t="s">
        <v>31</v>
      </c>
    </row>
    <row r="189" spans="1:2" x14ac:dyDescent="0.25">
      <c r="A189" s="39">
        <v>44948.476423611108</v>
      </c>
      <c r="B189" s="38" t="s">
        <v>31</v>
      </c>
    </row>
    <row r="190" spans="1:2" x14ac:dyDescent="0.25">
      <c r="A190" s="39">
        <v>44948.476539351854</v>
      </c>
      <c r="B190" s="38" t="s">
        <v>31</v>
      </c>
    </row>
    <row r="191" spans="1:2" x14ac:dyDescent="0.25">
      <c r="A191" s="39">
        <v>44948.476655092592</v>
      </c>
      <c r="B191" s="38" t="s">
        <v>31</v>
      </c>
    </row>
    <row r="192" spans="1:2" x14ac:dyDescent="0.25">
      <c r="A192" s="39">
        <v>44948.476770833331</v>
      </c>
      <c r="B192" s="38" t="s">
        <v>31</v>
      </c>
    </row>
    <row r="193" spans="1:2" x14ac:dyDescent="0.25">
      <c r="A193" s="39">
        <v>44948.476886574077</v>
      </c>
      <c r="B193" s="38" t="s">
        <v>31</v>
      </c>
    </row>
    <row r="194" spans="1:2" x14ac:dyDescent="0.25">
      <c r="A194" s="39">
        <v>44948.477002314816</v>
      </c>
      <c r="B194" s="38" t="s">
        <v>31</v>
      </c>
    </row>
    <row r="195" spans="1:2" x14ac:dyDescent="0.25">
      <c r="A195" s="39">
        <v>44948.477118055554</v>
      </c>
      <c r="B195" s="38" t="s">
        <v>31</v>
      </c>
    </row>
    <row r="196" spans="1:2" x14ac:dyDescent="0.25">
      <c r="A196" s="39">
        <v>44948.477233796293</v>
      </c>
      <c r="B196" s="38" t="s">
        <v>31</v>
      </c>
    </row>
    <row r="197" spans="1:2" x14ac:dyDescent="0.25">
      <c r="A197" s="39">
        <v>44948.477349537039</v>
      </c>
      <c r="B197" s="38" t="s">
        <v>31</v>
      </c>
    </row>
    <row r="198" spans="1:2" x14ac:dyDescent="0.25">
      <c r="A198" s="39">
        <v>44948.477465277778</v>
      </c>
      <c r="B198" s="38" t="s">
        <v>31</v>
      </c>
    </row>
    <row r="199" spans="1:2" x14ac:dyDescent="0.25">
      <c r="A199" s="39">
        <v>44948.478159722225</v>
      </c>
      <c r="B199" s="38" t="s">
        <v>31</v>
      </c>
    </row>
    <row r="200" spans="1:2" x14ac:dyDescent="0.25">
      <c r="A200" s="39">
        <v>44948.478275462963</v>
      </c>
      <c r="B200" s="38" t="s">
        <v>31</v>
      </c>
    </row>
    <row r="201" spans="1:2" x14ac:dyDescent="0.25">
      <c r="A201" s="39">
        <v>44948.478391203702</v>
      </c>
      <c r="B201" s="38" t="s">
        <v>31</v>
      </c>
    </row>
    <row r="202" spans="1:2" x14ac:dyDescent="0.25">
      <c r="A202" s="39">
        <v>44948.485347222224</v>
      </c>
      <c r="B202" s="38" t="s">
        <v>31</v>
      </c>
    </row>
    <row r="203" spans="1:2" x14ac:dyDescent="0.25">
      <c r="A203" s="39">
        <v>44948.485462962963</v>
      </c>
      <c r="B203" s="38" t="s">
        <v>31</v>
      </c>
    </row>
    <row r="204" spans="1:2" x14ac:dyDescent="0.25">
      <c r="A204" s="39">
        <v>44948.485578703701</v>
      </c>
      <c r="B204" s="38" t="s">
        <v>31</v>
      </c>
    </row>
    <row r="205" spans="1:2" x14ac:dyDescent="0.25">
      <c r="A205" s="39">
        <v>44948.485694444447</v>
      </c>
      <c r="B205" s="38" t="s">
        <v>31</v>
      </c>
    </row>
    <row r="206" spans="1:2" x14ac:dyDescent="0.25">
      <c r="A206" s="39">
        <v>44948.485810185186</v>
      </c>
      <c r="B206" s="38" t="s">
        <v>31</v>
      </c>
    </row>
    <row r="207" spans="1:2" x14ac:dyDescent="0.25">
      <c r="A207" s="39">
        <v>44948.486388888887</v>
      </c>
      <c r="B207" s="38" t="s">
        <v>31</v>
      </c>
    </row>
    <row r="208" spans="1:2" x14ac:dyDescent="0.25">
      <c r="A208" s="39">
        <v>44948.487199074072</v>
      </c>
      <c r="B208" s="38" t="s">
        <v>31</v>
      </c>
    </row>
    <row r="209" spans="1:2" x14ac:dyDescent="0.25">
      <c r="A209" s="39">
        <v>44950.494675925926</v>
      </c>
      <c r="B209" s="38" t="s">
        <v>31</v>
      </c>
    </row>
    <row r="210" spans="1:2" x14ac:dyDescent="0.25">
      <c r="A210" s="39">
        <v>44950.494791666664</v>
      </c>
      <c r="B210" s="38" t="s">
        <v>31</v>
      </c>
    </row>
    <row r="211" spans="1:2" x14ac:dyDescent="0.25">
      <c r="A211" s="39">
        <v>44950.495138888888</v>
      </c>
      <c r="B211" s="38" t="s">
        <v>31</v>
      </c>
    </row>
    <row r="212" spans="1:2" x14ac:dyDescent="0.25">
      <c r="A212" s="39">
        <v>44950.495486111111</v>
      </c>
      <c r="B212" s="38" t="s">
        <v>31</v>
      </c>
    </row>
    <row r="213" spans="1:2" x14ac:dyDescent="0.25">
      <c r="A213" s="39">
        <v>44950.49560185185</v>
      </c>
      <c r="B213" s="38" t="s">
        <v>31</v>
      </c>
    </row>
    <row r="214" spans="1:2" x14ac:dyDescent="0.25">
      <c r="A214" s="39">
        <v>44950.495717592596</v>
      </c>
      <c r="B214" s="38" t="s">
        <v>31</v>
      </c>
    </row>
    <row r="215" spans="1:2" x14ac:dyDescent="0.25">
      <c r="A215" s="39">
        <v>44950.495833333334</v>
      </c>
      <c r="B215" s="38" t="s">
        <v>31</v>
      </c>
    </row>
    <row r="216" spans="1:2" x14ac:dyDescent="0.25">
      <c r="A216" s="39">
        <v>44950.495949074073</v>
      </c>
      <c r="B216" s="38" t="s">
        <v>31</v>
      </c>
    </row>
    <row r="217" spans="1:2" x14ac:dyDescent="0.25">
      <c r="A217" s="39">
        <v>44950.496180555558</v>
      </c>
      <c r="B217" s="38" t="s">
        <v>31</v>
      </c>
    </row>
    <row r="218" spans="1:2" x14ac:dyDescent="0.25">
      <c r="A218" s="39">
        <v>44950.496527777781</v>
      </c>
      <c r="B218" s="38" t="s">
        <v>31</v>
      </c>
    </row>
    <row r="219" spans="1:2" x14ac:dyDescent="0.25">
      <c r="A219" s="39">
        <v>44950.49722222222</v>
      </c>
      <c r="B219" s="38" t="s">
        <v>31</v>
      </c>
    </row>
    <row r="220" spans="1:2" x14ac:dyDescent="0.25">
      <c r="A220" s="39">
        <v>44950.497337962966</v>
      </c>
      <c r="B220" s="38" t="s">
        <v>31</v>
      </c>
    </row>
    <row r="221" spans="1:2" x14ac:dyDescent="0.25">
      <c r="A221" s="39">
        <v>44950.509155092594</v>
      </c>
      <c r="B221" s="38" t="s">
        <v>31</v>
      </c>
    </row>
    <row r="222" spans="1:2" x14ac:dyDescent="0.25">
      <c r="A222" s="39">
        <v>44950.509270833332</v>
      </c>
      <c r="B222" s="38" t="s">
        <v>31</v>
      </c>
    </row>
    <row r="223" spans="1:2" x14ac:dyDescent="0.25">
      <c r="A223" s="39">
        <v>44950.509386574071</v>
      </c>
      <c r="B223" s="38" t="s">
        <v>31</v>
      </c>
    </row>
    <row r="224" spans="1:2" x14ac:dyDescent="0.25">
      <c r="A224" s="39">
        <v>44950.509502314817</v>
      </c>
      <c r="B224" s="38" t="s">
        <v>31</v>
      </c>
    </row>
    <row r="225" spans="1:2" x14ac:dyDescent="0.25">
      <c r="A225" s="39">
        <v>44950.512048611112</v>
      </c>
      <c r="B225" s="38" t="s">
        <v>31</v>
      </c>
    </row>
    <row r="226" spans="1:2" x14ac:dyDescent="0.25">
      <c r="A226" s="39">
        <v>44950.512164351851</v>
      </c>
      <c r="B226" s="38" t="s">
        <v>31</v>
      </c>
    </row>
    <row r="227" spans="1:2" x14ac:dyDescent="0.25">
      <c r="A227" s="39">
        <v>44950.512395833335</v>
      </c>
      <c r="B227" s="38" t="s">
        <v>31</v>
      </c>
    </row>
    <row r="228" spans="1:2" x14ac:dyDescent="0.25">
      <c r="A228" s="39">
        <v>44950.524201388886</v>
      </c>
      <c r="B228" s="38" t="s">
        <v>31</v>
      </c>
    </row>
    <row r="229" spans="1:2" x14ac:dyDescent="0.25">
      <c r="A229" s="39">
        <v>44950.524317129632</v>
      </c>
      <c r="B229" s="38" t="s">
        <v>31</v>
      </c>
    </row>
    <row r="230" spans="1:2" x14ac:dyDescent="0.25">
      <c r="A230" s="39">
        <v>44950.52443287037</v>
      </c>
      <c r="B230" s="38" t="s">
        <v>31</v>
      </c>
    </row>
    <row r="231" spans="1:2" x14ac:dyDescent="0.25">
      <c r="A231" s="39">
        <v>44950.524664351855</v>
      </c>
      <c r="B231" s="38" t="s">
        <v>31</v>
      </c>
    </row>
    <row r="232" spans="1:2" x14ac:dyDescent="0.25">
      <c r="A232" s="39">
        <v>44950.524780092594</v>
      </c>
      <c r="B232" s="38" t="s">
        <v>31</v>
      </c>
    </row>
    <row r="233" spans="1:2" x14ac:dyDescent="0.25">
      <c r="A233" s="39">
        <v>44950.554537037038</v>
      </c>
      <c r="B233" s="38" t="s">
        <v>31</v>
      </c>
    </row>
    <row r="234" spans="1:2" x14ac:dyDescent="0.25">
      <c r="A234" s="39">
        <v>44950.560208333336</v>
      </c>
      <c r="B234" s="38" t="s">
        <v>31</v>
      </c>
    </row>
    <row r="235" spans="1:2" x14ac:dyDescent="0.25">
      <c r="A235" s="39">
        <v>44950.560324074075</v>
      </c>
      <c r="B235" s="38" t="s">
        <v>31</v>
      </c>
    </row>
    <row r="236" spans="1:2" x14ac:dyDescent="0.25">
      <c r="A236" s="39">
        <v>44950.560439814813</v>
      </c>
      <c r="B236" s="38" t="s">
        <v>31</v>
      </c>
    </row>
    <row r="237" spans="1:2" x14ac:dyDescent="0.25">
      <c r="A237" s="39">
        <v>44950.560555555552</v>
      </c>
      <c r="B237" s="38" t="s">
        <v>31</v>
      </c>
    </row>
    <row r="238" spans="1:2" x14ac:dyDescent="0.25">
      <c r="A238" s="39">
        <v>44950.560671296298</v>
      </c>
      <c r="B238" s="38" t="s">
        <v>31</v>
      </c>
    </row>
    <row r="239" spans="1:2" x14ac:dyDescent="0.25">
      <c r="A239" s="39">
        <v>44950.560787037037</v>
      </c>
      <c r="B239" s="38" t="s">
        <v>31</v>
      </c>
    </row>
    <row r="240" spans="1:2" x14ac:dyDescent="0.25">
      <c r="A240" s="39">
        <v>44950.560902777775</v>
      </c>
      <c r="B240" s="38" t="s">
        <v>31</v>
      </c>
    </row>
    <row r="241" spans="1:2" x14ac:dyDescent="0.25">
      <c r="A241" s="39">
        <v>44950.561018518521</v>
      </c>
      <c r="B241" s="38" t="s">
        <v>31</v>
      </c>
    </row>
    <row r="242" spans="1:2" x14ac:dyDescent="0.25">
      <c r="A242" s="39">
        <v>44950.56113425926</v>
      </c>
      <c r="B242" s="38" t="s">
        <v>31</v>
      </c>
    </row>
    <row r="243" spans="1:2" x14ac:dyDescent="0.25">
      <c r="A243" s="39">
        <v>44950.561597222222</v>
      </c>
      <c r="B243" s="38" t="s">
        <v>31</v>
      </c>
    </row>
    <row r="244" spans="1:2" x14ac:dyDescent="0.25">
      <c r="A244" s="39">
        <v>44950.563101851854</v>
      </c>
      <c r="B244" s="38" t="s">
        <v>31</v>
      </c>
    </row>
    <row r="245" spans="1:2" x14ac:dyDescent="0.25">
      <c r="A245" s="39">
        <v>44951.456377314818</v>
      </c>
      <c r="B245" s="38" t="s">
        <v>31</v>
      </c>
    </row>
    <row r="246" spans="1:2" x14ac:dyDescent="0.25">
      <c r="A246" s="39">
        <v>44951.472939814812</v>
      </c>
      <c r="B246" s="38" t="s">
        <v>31</v>
      </c>
    </row>
    <row r="247" spans="1:2" x14ac:dyDescent="0.25">
      <c r="A247" s="39">
        <v>44951.475717592592</v>
      </c>
      <c r="B247" s="38" t="s">
        <v>31</v>
      </c>
    </row>
    <row r="248" spans="1:2" x14ac:dyDescent="0.25">
      <c r="A248" s="39">
        <v>44951.475949074076</v>
      </c>
      <c r="B248" s="38" t="s">
        <v>31</v>
      </c>
    </row>
    <row r="249" spans="1:2" x14ac:dyDescent="0.25">
      <c r="A249" s="39">
        <v>44952.451331018521</v>
      </c>
      <c r="B249" s="38" t="s">
        <v>31</v>
      </c>
    </row>
    <row r="250" spans="1:2" x14ac:dyDescent="0.25">
      <c r="A250" s="39">
        <v>44952.45144675926</v>
      </c>
      <c r="B250" s="38" t="s">
        <v>31</v>
      </c>
    </row>
    <row r="251" spans="1:2" x14ac:dyDescent="0.25">
      <c r="A251" s="39">
        <v>44952.451562499999</v>
      </c>
      <c r="B251" s="38" t="s">
        <v>31</v>
      </c>
    </row>
    <row r="252" spans="1:2" x14ac:dyDescent="0.25">
      <c r="A252" s="39">
        <v>44952.451678240737</v>
      </c>
      <c r="B252" s="38" t="s">
        <v>31</v>
      </c>
    </row>
    <row r="253" spans="1:2" x14ac:dyDescent="0.25">
      <c r="A253" s="39">
        <v>44952.451793981483</v>
      </c>
      <c r="B253" s="38" t="s">
        <v>31</v>
      </c>
    </row>
    <row r="254" spans="1:2" x14ac:dyDescent="0.25">
      <c r="A254" s="39">
        <v>44952.452025462961</v>
      </c>
      <c r="B254" s="38" t="s">
        <v>31</v>
      </c>
    </row>
    <row r="255" spans="1:2" x14ac:dyDescent="0.25">
      <c r="A255" s="39">
        <v>44952.452372685184</v>
      </c>
      <c r="B255" s="38" t="s">
        <v>31</v>
      </c>
    </row>
    <row r="256" spans="1:2" x14ac:dyDescent="0.25">
      <c r="A256" s="39">
        <v>44952.452488425923</v>
      </c>
      <c r="B256" s="38" t="s">
        <v>31</v>
      </c>
    </row>
    <row r="257" spans="1:2" x14ac:dyDescent="0.25">
      <c r="A257" s="39">
        <v>44952.452604166669</v>
      </c>
      <c r="B257" s="38" t="s">
        <v>31</v>
      </c>
    </row>
    <row r="258" spans="1:2" x14ac:dyDescent="0.25">
      <c r="A258" s="39">
        <v>44952.452719907407</v>
      </c>
      <c r="B258" s="38" t="s">
        <v>31</v>
      </c>
    </row>
    <row r="259" spans="1:2" x14ac:dyDescent="0.25">
      <c r="A259" s="39">
        <v>44952.452835648146</v>
      </c>
      <c r="B259" s="38" t="s">
        <v>31</v>
      </c>
    </row>
    <row r="260" spans="1:2" x14ac:dyDescent="0.25">
      <c r="A260" s="39">
        <v>44952.452951388892</v>
      </c>
      <c r="B260" s="38" t="s">
        <v>31</v>
      </c>
    </row>
    <row r="261" spans="1:2" x14ac:dyDescent="0.25">
      <c r="A261" s="39">
        <v>44952.453645833331</v>
      </c>
      <c r="B261" s="38" t="s">
        <v>31</v>
      </c>
    </row>
    <row r="262" spans="1:2" x14ac:dyDescent="0.25">
      <c r="A262" s="39">
        <v>44952.454224537039</v>
      </c>
      <c r="B262" s="38" t="s">
        <v>31</v>
      </c>
    </row>
    <row r="263" spans="1:2" x14ac:dyDescent="0.25">
      <c r="A263" s="39">
        <v>44952.456770833334</v>
      </c>
      <c r="B263" s="38" t="s">
        <v>31</v>
      </c>
    </row>
    <row r="264" spans="1:2" x14ac:dyDescent="0.25">
      <c r="A264" s="39">
        <v>44952.498692129629</v>
      </c>
      <c r="B264" s="38" t="s">
        <v>31</v>
      </c>
    </row>
    <row r="265" spans="1:2" x14ac:dyDescent="0.25">
      <c r="A265" s="39">
        <v>44952.499849537038</v>
      </c>
      <c r="B265" s="38" t="s">
        <v>31</v>
      </c>
    </row>
    <row r="266" spans="1:2" x14ac:dyDescent="0.25">
      <c r="A266" s="39">
        <v>44952.499965277777</v>
      </c>
      <c r="B266" s="38" t="s">
        <v>31</v>
      </c>
    </row>
    <row r="267" spans="1:2" x14ac:dyDescent="0.25">
      <c r="A267" s="39">
        <v>44952.500081018516</v>
      </c>
      <c r="B267" s="38" t="s">
        <v>31</v>
      </c>
    </row>
    <row r="268" spans="1:2" x14ac:dyDescent="0.25">
      <c r="A268" s="39">
        <v>44952.500196759262</v>
      </c>
      <c r="B268" s="38" t="s">
        <v>31</v>
      </c>
    </row>
    <row r="269" spans="1:2" x14ac:dyDescent="0.25">
      <c r="A269" s="39">
        <v>44952.5003125</v>
      </c>
      <c r="B269" s="38" t="s">
        <v>31</v>
      </c>
    </row>
    <row r="270" spans="1:2" x14ac:dyDescent="0.25">
      <c r="A270" s="39">
        <v>44952.500428240739</v>
      </c>
      <c r="B270" s="38" t="s">
        <v>31</v>
      </c>
    </row>
    <row r="271" spans="1:2" x14ac:dyDescent="0.25">
      <c r="A271" s="39">
        <v>44952.500543981485</v>
      </c>
      <c r="B271" s="38" t="s">
        <v>31</v>
      </c>
    </row>
    <row r="272" spans="1:2" x14ac:dyDescent="0.25">
      <c r="A272" s="39">
        <v>44952.500659722224</v>
      </c>
      <c r="B272" s="38" t="s">
        <v>31</v>
      </c>
    </row>
    <row r="273" spans="1:2" x14ac:dyDescent="0.25">
      <c r="A273" s="39">
        <v>44952.500775462962</v>
      </c>
      <c r="B273" s="38" t="s">
        <v>31</v>
      </c>
    </row>
    <row r="274" spans="1:2" x14ac:dyDescent="0.25">
      <c r="A274" s="39">
        <v>44952.500891203701</v>
      </c>
      <c r="B274" s="38" t="s">
        <v>31</v>
      </c>
    </row>
    <row r="275" spans="1:2" x14ac:dyDescent="0.25">
      <c r="A275" s="39">
        <v>44952.50644675926</v>
      </c>
      <c r="B275" s="38" t="s">
        <v>31</v>
      </c>
    </row>
    <row r="276" spans="1:2" x14ac:dyDescent="0.25">
      <c r="A276" s="39">
        <v>44952.506562499999</v>
      </c>
      <c r="B276" s="38" t="s">
        <v>31</v>
      </c>
    </row>
    <row r="277" spans="1:2" x14ac:dyDescent="0.25">
      <c r="A277" s="39">
        <v>44952.508993055555</v>
      </c>
      <c r="B277" s="38" t="s">
        <v>31</v>
      </c>
    </row>
    <row r="278" spans="1:2" x14ac:dyDescent="0.25">
      <c r="A278" s="39">
        <v>44952.509108796294</v>
      </c>
      <c r="B278" s="38" t="s">
        <v>31</v>
      </c>
    </row>
    <row r="279" spans="1:2" x14ac:dyDescent="0.25">
      <c r="A279" s="39">
        <v>44952.50922453704</v>
      </c>
      <c r="B279" s="38" t="s">
        <v>31</v>
      </c>
    </row>
    <row r="280" spans="1:2" x14ac:dyDescent="0.25">
      <c r="A280" s="39">
        <v>44952.509340277778</v>
      </c>
      <c r="B280" s="38" t="s">
        <v>31</v>
      </c>
    </row>
    <row r="281" spans="1:2" x14ac:dyDescent="0.25">
      <c r="A281" s="39">
        <v>44952.509456018517</v>
      </c>
      <c r="B281" s="38" t="s">
        <v>31</v>
      </c>
    </row>
    <row r="282" spans="1:2" x14ac:dyDescent="0.25">
      <c r="A282" s="39">
        <v>44952.50980324074</v>
      </c>
      <c r="B282" s="38" t="s">
        <v>31</v>
      </c>
    </row>
    <row r="283" spans="1:2" x14ac:dyDescent="0.25">
      <c r="A283" s="39">
        <v>44952.57984953704</v>
      </c>
      <c r="B283" s="38" t="s">
        <v>31</v>
      </c>
    </row>
    <row r="284" spans="1:2" x14ac:dyDescent="0.25">
      <c r="A284" s="39">
        <v>44952.579965277779</v>
      </c>
      <c r="B284" s="38" t="s">
        <v>31</v>
      </c>
    </row>
    <row r="285" spans="1:2" x14ac:dyDescent="0.25">
      <c r="A285" s="39">
        <v>44952.580081018517</v>
      </c>
      <c r="B285" s="38" t="s">
        <v>31</v>
      </c>
    </row>
    <row r="286" spans="1:2" x14ac:dyDescent="0.25">
      <c r="A286" s="39">
        <v>44952.580196759256</v>
      </c>
      <c r="B286" s="38" t="s">
        <v>31</v>
      </c>
    </row>
    <row r="287" spans="1:2" x14ac:dyDescent="0.25">
      <c r="A287" s="39">
        <v>44952.580324074072</v>
      </c>
      <c r="B287" s="38" t="s">
        <v>31</v>
      </c>
    </row>
    <row r="288" spans="1:2" x14ac:dyDescent="0.25">
      <c r="A288" s="39">
        <v>44952.580439814818</v>
      </c>
      <c r="B288" s="38" t="s">
        <v>31</v>
      </c>
    </row>
    <row r="289" spans="1:2" x14ac:dyDescent="0.25">
      <c r="A289" s="39">
        <v>44952.580555555556</v>
      </c>
      <c r="B289" s="38" t="s">
        <v>31</v>
      </c>
    </row>
    <row r="290" spans="1:2" x14ac:dyDescent="0.25">
      <c r="A290" s="39">
        <v>44952.580671296295</v>
      </c>
      <c r="B290" s="38" t="s">
        <v>31</v>
      </c>
    </row>
    <row r="291" spans="1:2" x14ac:dyDescent="0.25">
      <c r="A291" s="39">
        <v>44952.580787037034</v>
      </c>
      <c r="B291" s="38" t="s">
        <v>31</v>
      </c>
    </row>
    <row r="292" spans="1:2" x14ac:dyDescent="0.25">
      <c r="A292" s="39">
        <v>44952.58090277778</v>
      </c>
      <c r="B292" s="38" t="s">
        <v>31</v>
      </c>
    </row>
    <row r="293" spans="1:2" x14ac:dyDescent="0.25">
      <c r="A293" s="39">
        <v>44952.581018518518</v>
      </c>
      <c r="B293" s="38" t="s">
        <v>31</v>
      </c>
    </row>
    <row r="294" spans="1:2" x14ac:dyDescent="0.25">
      <c r="A294" s="39">
        <v>44952.581134259257</v>
      </c>
      <c r="B294" s="38" t="s">
        <v>31</v>
      </c>
    </row>
    <row r="295" spans="1:2" x14ac:dyDescent="0.25">
      <c r="A295" s="39">
        <v>44952.581250000003</v>
      </c>
      <c r="B295" s="38" t="s">
        <v>31</v>
      </c>
    </row>
    <row r="296" spans="1:2" x14ac:dyDescent="0.25">
      <c r="A296" s="39">
        <v>44952.581365740742</v>
      </c>
      <c r="B296" s="38" t="s">
        <v>31</v>
      </c>
    </row>
    <row r="297" spans="1:2" x14ac:dyDescent="0.25">
      <c r="A297" s="39">
        <v>44952.58148148148</v>
      </c>
      <c r="B297" s="38" t="s">
        <v>31</v>
      </c>
    </row>
    <row r="298" spans="1:2" x14ac:dyDescent="0.25">
      <c r="A298" s="39">
        <v>44952.581597222219</v>
      </c>
      <c r="B298" s="38" t="s">
        <v>31</v>
      </c>
    </row>
    <row r="299" spans="1:2" x14ac:dyDescent="0.25">
      <c r="A299" s="39">
        <v>44953.432060185187</v>
      </c>
      <c r="B299" s="38" t="s">
        <v>31</v>
      </c>
    </row>
    <row r="300" spans="1:2" x14ac:dyDescent="0.25">
      <c r="A300" s="39">
        <v>44953.451041666667</v>
      </c>
      <c r="B300" s="38" t="s">
        <v>31</v>
      </c>
    </row>
    <row r="301" spans="1:2" x14ac:dyDescent="0.25">
      <c r="A301" s="39">
        <v>44953.45140046296</v>
      </c>
      <c r="B301" s="38" t="s">
        <v>31</v>
      </c>
    </row>
    <row r="302" spans="1:2" x14ac:dyDescent="0.25">
      <c r="A302" s="39">
        <v>44953.47965277778</v>
      </c>
      <c r="B302" s="38" t="s">
        <v>31</v>
      </c>
    </row>
    <row r="303" spans="1:2" x14ac:dyDescent="0.25">
      <c r="A303" s="39">
        <v>44953.479768518519</v>
      </c>
      <c r="B303" s="38" t="s">
        <v>31</v>
      </c>
    </row>
    <row r="304" spans="1:2" x14ac:dyDescent="0.25">
      <c r="A304" s="39">
        <v>44953.479884259257</v>
      </c>
      <c r="B304" s="38" t="s">
        <v>31</v>
      </c>
    </row>
    <row r="305" spans="1:2" x14ac:dyDescent="0.25">
      <c r="A305" s="39">
        <v>44953.48</v>
      </c>
      <c r="B305" s="38" t="s">
        <v>31</v>
      </c>
    </row>
    <row r="306" spans="1:2" x14ac:dyDescent="0.25">
      <c r="A306" s="39">
        <v>44953.480347222219</v>
      </c>
      <c r="B306" s="38" t="s">
        <v>31</v>
      </c>
    </row>
    <row r="307" spans="1:2" x14ac:dyDescent="0.25">
      <c r="A307" s="39">
        <v>44953.480462962965</v>
      </c>
      <c r="B307" s="38" t="s">
        <v>31</v>
      </c>
    </row>
    <row r="308" spans="1:2" x14ac:dyDescent="0.25">
      <c r="A308" s="39">
        <v>44953.480810185189</v>
      </c>
      <c r="B308" s="38" t="s">
        <v>31</v>
      </c>
    </row>
    <row r="309" spans="1:2" x14ac:dyDescent="0.25">
      <c r="A309" s="39">
        <v>44953.480925925927</v>
      </c>
      <c r="B309" s="38" t="s">
        <v>31</v>
      </c>
    </row>
    <row r="310" spans="1:2" x14ac:dyDescent="0.25">
      <c r="A310" s="39">
        <v>44953.481273148151</v>
      </c>
      <c r="B310" s="38" t="s">
        <v>31</v>
      </c>
    </row>
    <row r="311" spans="1:2" x14ac:dyDescent="0.25">
      <c r="A311" s="39">
        <v>44953.481388888889</v>
      </c>
      <c r="B311" s="38" t="s">
        <v>31</v>
      </c>
    </row>
    <row r="312" spans="1:2" x14ac:dyDescent="0.25">
      <c r="A312" s="39">
        <v>44953.481504629628</v>
      </c>
      <c r="B312" s="38" t="s">
        <v>31</v>
      </c>
    </row>
    <row r="313" spans="1:2" x14ac:dyDescent="0.25">
      <c r="A313" s="39">
        <v>44953.484513888892</v>
      </c>
      <c r="B313" s="38" t="s">
        <v>31</v>
      </c>
    </row>
    <row r="314" spans="1:2" x14ac:dyDescent="0.25">
      <c r="A314" s="39">
        <v>44953.485092592593</v>
      </c>
      <c r="B314" s="38" t="s">
        <v>31</v>
      </c>
    </row>
    <row r="315" spans="1:2" x14ac:dyDescent="0.25">
      <c r="A315" s="39">
        <v>44953.485208333332</v>
      </c>
      <c r="B315" s="38" t="s">
        <v>31</v>
      </c>
    </row>
    <row r="316" spans="1:2" x14ac:dyDescent="0.25">
      <c r="A316" s="39">
        <v>44953.485324074078</v>
      </c>
      <c r="B316" s="38" t="s">
        <v>31</v>
      </c>
    </row>
    <row r="317" spans="1:2" x14ac:dyDescent="0.25">
      <c r="A317" s="39">
        <v>44953.493541666663</v>
      </c>
      <c r="B317" s="38" t="s">
        <v>31</v>
      </c>
    </row>
    <row r="318" spans="1:2" x14ac:dyDescent="0.25">
      <c r="A318" s="39">
        <v>44953.493657407409</v>
      </c>
      <c r="B318" s="38" t="s">
        <v>31</v>
      </c>
    </row>
    <row r="319" spans="1:2" x14ac:dyDescent="0.25">
      <c r="A319" s="39">
        <v>44953.493773148148</v>
      </c>
      <c r="B319" s="38" t="s">
        <v>31</v>
      </c>
    </row>
    <row r="320" spans="1:2" x14ac:dyDescent="0.25">
      <c r="A320" s="39">
        <v>44953.493888888886</v>
      </c>
      <c r="B320" s="38" t="s">
        <v>31</v>
      </c>
    </row>
    <row r="321" spans="1:2" x14ac:dyDescent="0.25">
      <c r="A321" s="39">
        <v>44953.494004629632</v>
      </c>
      <c r="B321" s="38" t="s">
        <v>31</v>
      </c>
    </row>
    <row r="322" spans="1:2" x14ac:dyDescent="0.25">
      <c r="A322" s="39">
        <v>44953.494120370371</v>
      </c>
      <c r="B322" s="38" t="s">
        <v>31</v>
      </c>
    </row>
    <row r="323" spans="1:2" x14ac:dyDescent="0.25">
      <c r="A323" s="39">
        <v>44953.494467592594</v>
      </c>
      <c r="B323" s="38" t="s">
        <v>31</v>
      </c>
    </row>
    <row r="324" spans="1:2" x14ac:dyDescent="0.25">
      <c r="A324" s="39">
        <v>44953.496203703704</v>
      </c>
      <c r="B324" s="38" t="s">
        <v>31</v>
      </c>
    </row>
    <row r="325" spans="1:2" x14ac:dyDescent="0.25">
      <c r="A325" s="39">
        <v>44953.496435185189</v>
      </c>
      <c r="B325" s="38" t="s">
        <v>31</v>
      </c>
    </row>
    <row r="326" spans="1:2" x14ac:dyDescent="0.25">
      <c r="A326" s="39">
        <v>44953.531747685185</v>
      </c>
      <c r="B326" s="38" t="s">
        <v>31</v>
      </c>
    </row>
    <row r="327" spans="1:2" x14ac:dyDescent="0.25">
      <c r="A327" s="39">
        <v>44953.531863425924</v>
      </c>
      <c r="B327" s="38" t="s">
        <v>31</v>
      </c>
    </row>
    <row r="328" spans="1:2" x14ac:dyDescent="0.25">
      <c r="A328" s="39">
        <v>44953.53197916667</v>
      </c>
      <c r="B328" s="38" t="s">
        <v>31</v>
      </c>
    </row>
    <row r="329" spans="1:2" x14ac:dyDescent="0.25">
      <c r="A329" s="39">
        <v>44953.532094907408</v>
      </c>
      <c r="B329" s="38" t="s">
        <v>31</v>
      </c>
    </row>
    <row r="330" spans="1:2" x14ac:dyDescent="0.25">
      <c r="A330" s="39">
        <v>44953.532210648147</v>
      </c>
      <c r="B330" s="38" t="s">
        <v>31</v>
      </c>
    </row>
    <row r="331" spans="1:2" x14ac:dyDescent="0.25">
      <c r="A331" s="39">
        <v>44953.533136574071</v>
      </c>
      <c r="B331" s="38" t="s">
        <v>31</v>
      </c>
    </row>
    <row r="332" spans="1:2" x14ac:dyDescent="0.25">
      <c r="A332" s="39">
        <v>44953.533252314817</v>
      </c>
      <c r="B332" s="38" t="s">
        <v>31</v>
      </c>
    </row>
    <row r="333" spans="1:2" x14ac:dyDescent="0.25">
      <c r="A333" s="39">
        <v>44953.533368055556</v>
      </c>
      <c r="B333" s="38" t="s">
        <v>31</v>
      </c>
    </row>
    <row r="334" spans="1:2" x14ac:dyDescent="0.25">
      <c r="A334" s="39">
        <v>44953.533483796295</v>
      </c>
      <c r="B334" s="38" t="s">
        <v>31</v>
      </c>
    </row>
    <row r="335" spans="1:2" x14ac:dyDescent="0.25">
      <c r="A335" s="39">
        <v>44953.533599537041</v>
      </c>
      <c r="B335" s="38" t="s">
        <v>31</v>
      </c>
    </row>
    <row r="336" spans="1:2" x14ac:dyDescent="0.25">
      <c r="A336" s="39">
        <v>44953.533715277779</v>
      </c>
      <c r="B336" s="38" t="s">
        <v>31</v>
      </c>
    </row>
    <row r="337" spans="1:2" x14ac:dyDescent="0.25">
      <c r="A337" s="39">
        <v>44953.535451388889</v>
      </c>
      <c r="B337" s="38" t="s">
        <v>31</v>
      </c>
    </row>
    <row r="338" spans="1:2" x14ac:dyDescent="0.25">
      <c r="A338" s="39">
        <v>44953.535567129627</v>
      </c>
      <c r="B338" s="38" t="s">
        <v>31</v>
      </c>
    </row>
    <row r="339" spans="1:2" x14ac:dyDescent="0.25">
      <c r="A339" s="39">
        <v>44953.535682870373</v>
      </c>
      <c r="B339" s="38" t="s">
        <v>31</v>
      </c>
    </row>
    <row r="340" spans="1:2" x14ac:dyDescent="0.25">
      <c r="A340" s="39">
        <v>44953.535798611112</v>
      </c>
      <c r="B340" s="38" t="s">
        <v>31</v>
      </c>
    </row>
    <row r="341" spans="1:2" x14ac:dyDescent="0.25">
      <c r="A341" s="39">
        <v>44953.535914351851</v>
      </c>
      <c r="B341" s="38" t="s">
        <v>31</v>
      </c>
    </row>
    <row r="342" spans="1:2" x14ac:dyDescent="0.25">
      <c r="A342" s="39">
        <v>44953.536030092589</v>
      </c>
      <c r="B342" s="38" t="s">
        <v>31</v>
      </c>
    </row>
    <row r="343" spans="1:2" x14ac:dyDescent="0.25">
      <c r="A343" s="39">
        <v>44953.536145833335</v>
      </c>
      <c r="B343" s="38" t="s">
        <v>31</v>
      </c>
    </row>
    <row r="344" spans="1:2" x14ac:dyDescent="0.25">
      <c r="A344" s="39">
        <v>44953.536261574074</v>
      </c>
      <c r="B344" s="38" t="s">
        <v>31</v>
      </c>
    </row>
    <row r="345" spans="1:2" x14ac:dyDescent="0.25">
      <c r="A345" s="39">
        <v>44953.536377314813</v>
      </c>
      <c r="B345" s="38" t="s">
        <v>31</v>
      </c>
    </row>
    <row r="346" spans="1:2" x14ac:dyDescent="0.25">
      <c r="A346" s="39">
        <v>44953.538807870369</v>
      </c>
      <c r="B346" s="38" t="s">
        <v>31</v>
      </c>
    </row>
    <row r="347" spans="1:2" x14ac:dyDescent="0.25">
      <c r="A347" s="39">
        <v>44953.543564814812</v>
      </c>
      <c r="B347" s="38" t="s">
        <v>31</v>
      </c>
    </row>
    <row r="348" spans="1:2" x14ac:dyDescent="0.25">
      <c r="A348" s="39">
        <v>44953.54414351852</v>
      </c>
      <c r="B348" s="38" t="s">
        <v>31</v>
      </c>
    </row>
    <row r="349" spans="1:2" x14ac:dyDescent="0.25">
      <c r="A349" s="39">
        <v>44953.544259259259</v>
      </c>
      <c r="B349" s="38" t="s">
        <v>31</v>
      </c>
    </row>
    <row r="350" spans="1:2" x14ac:dyDescent="0.25">
      <c r="A350" s="39">
        <v>44953.589872685188</v>
      </c>
      <c r="B350" s="38" t="s">
        <v>31</v>
      </c>
    </row>
    <row r="351" spans="1:2" x14ac:dyDescent="0.25">
      <c r="A351" s="39">
        <v>44953.590104166666</v>
      </c>
      <c r="B351" s="38" t="s">
        <v>31</v>
      </c>
    </row>
    <row r="352" spans="1:2" x14ac:dyDescent="0.25">
      <c r="A352" s="39">
        <v>44953.590219907404</v>
      </c>
      <c r="B352" s="38" t="s">
        <v>31</v>
      </c>
    </row>
    <row r="353" spans="1:2" x14ac:dyDescent="0.25">
      <c r="A353" s="39">
        <v>44953.59033564815</v>
      </c>
      <c r="B353" s="38" t="s">
        <v>31</v>
      </c>
    </row>
    <row r="354" spans="1:2" x14ac:dyDescent="0.25">
      <c r="A354" s="39">
        <v>44953.590451388889</v>
      </c>
      <c r="B354" s="38" t="s">
        <v>31</v>
      </c>
    </row>
    <row r="355" spans="1:2" x14ac:dyDescent="0.25">
      <c r="A355" s="39">
        <v>44953.590567129628</v>
      </c>
      <c r="B355" s="38" t="s">
        <v>31</v>
      </c>
    </row>
    <row r="356" spans="1:2" x14ac:dyDescent="0.25">
      <c r="A356" s="39">
        <v>44953.590682870374</v>
      </c>
      <c r="B356" s="38" t="s">
        <v>31</v>
      </c>
    </row>
    <row r="357" spans="1:2" x14ac:dyDescent="0.25">
      <c r="A357" s="39">
        <v>44953.590798611112</v>
      </c>
      <c r="B357" s="38" t="s">
        <v>31</v>
      </c>
    </row>
    <row r="358" spans="1:2" x14ac:dyDescent="0.25">
      <c r="A358" s="39">
        <v>44954.460381944446</v>
      </c>
      <c r="B358" s="38" t="s">
        <v>31</v>
      </c>
    </row>
    <row r="359" spans="1:2" x14ac:dyDescent="0.25">
      <c r="A359" s="39">
        <v>44954.460497685184</v>
      </c>
      <c r="B359" s="38" t="s">
        <v>31</v>
      </c>
    </row>
    <row r="360" spans="1:2" x14ac:dyDescent="0.25">
      <c r="A360" s="39">
        <v>44954.470462962963</v>
      </c>
      <c r="B360" s="38" t="s">
        <v>31</v>
      </c>
    </row>
    <row r="361" spans="1:2" x14ac:dyDescent="0.25">
      <c r="A361" s="39">
        <v>44954.470578703702</v>
      </c>
      <c r="B361" s="38" t="s">
        <v>31</v>
      </c>
    </row>
    <row r="362" spans="1:2" x14ac:dyDescent="0.25">
      <c r="A362" s="39">
        <v>44954.470694444448</v>
      </c>
      <c r="B362" s="38" t="s">
        <v>31</v>
      </c>
    </row>
    <row r="363" spans="1:2" x14ac:dyDescent="0.25">
      <c r="A363" s="39">
        <v>44954.470810185187</v>
      </c>
      <c r="B363" s="38" t="s">
        <v>31</v>
      </c>
    </row>
    <row r="364" spans="1:2" x14ac:dyDescent="0.25">
      <c r="A364" s="39">
        <v>44954.470925925925</v>
      </c>
      <c r="B364" s="38" t="s">
        <v>31</v>
      </c>
    </row>
    <row r="365" spans="1:2" x14ac:dyDescent="0.25">
      <c r="A365" s="39">
        <v>44954.471041666664</v>
      </c>
      <c r="B365" s="38" t="s">
        <v>31</v>
      </c>
    </row>
    <row r="366" spans="1:2" x14ac:dyDescent="0.25">
      <c r="A366" s="39">
        <v>44954.47115740741</v>
      </c>
      <c r="B366" s="38" t="s">
        <v>31</v>
      </c>
    </row>
    <row r="367" spans="1:2" x14ac:dyDescent="0.25">
      <c r="A367" s="39">
        <v>44954.483888888892</v>
      </c>
      <c r="B367" s="38" t="s">
        <v>31</v>
      </c>
    </row>
    <row r="368" spans="1:2" x14ac:dyDescent="0.25">
      <c r="A368" s="39">
        <v>44954.48400462963</v>
      </c>
      <c r="B368" s="38" t="s">
        <v>31</v>
      </c>
    </row>
    <row r="369" spans="1:2" x14ac:dyDescent="0.25">
      <c r="A369" s="39">
        <v>44954.484120370369</v>
      </c>
      <c r="B369" s="38" t="s">
        <v>31</v>
      </c>
    </row>
    <row r="370" spans="1:2" x14ac:dyDescent="0.25">
      <c r="A370" s="39">
        <v>44954.485046296293</v>
      </c>
      <c r="B370" s="38" t="s">
        <v>31</v>
      </c>
    </row>
    <row r="371" spans="1:2" x14ac:dyDescent="0.25">
      <c r="A371" s="39">
        <v>44954.485162037039</v>
      </c>
      <c r="B371" s="38" t="s">
        <v>31</v>
      </c>
    </row>
    <row r="372" spans="1:2" x14ac:dyDescent="0.25">
      <c r="A372" s="39">
        <v>44954.485277777778</v>
      </c>
      <c r="B372" s="38" t="s">
        <v>31</v>
      </c>
    </row>
    <row r="373" spans="1:2" x14ac:dyDescent="0.25">
      <c r="A373" s="39">
        <v>44954.485393518517</v>
      </c>
      <c r="B373" s="38" t="s">
        <v>31</v>
      </c>
    </row>
    <row r="374" spans="1:2" x14ac:dyDescent="0.25">
      <c r="A374" s="39">
        <v>44954.485509259262</v>
      </c>
      <c r="B374" s="38" t="s">
        <v>31</v>
      </c>
    </row>
    <row r="375" spans="1:2" x14ac:dyDescent="0.25">
      <c r="A375" s="39">
        <v>44956.461631944447</v>
      </c>
      <c r="B375" s="38" t="s">
        <v>31</v>
      </c>
    </row>
    <row r="376" spans="1:2" x14ac:dyDescent="0.25">
      <c r="A376" s="39">
        <v>44956.464062500003</v>
      </c>
      <c r="B376" s="38" t="s">
        <v>31</v>
      </c>
    </row>
    <row r="377" spans="1:2" x14ac:dyDescent="0.25">
      <c r="A377" s="39">
        <v>44956.464178240742</v>
      </c>
      <c r="B377" s="38" t="s">
        <v>31</v>
      </c>
    </row>
    <row r="378" spans="1:2" x14ac:dyDescent="0.25">
      <c r="A378" s="39">
        <v>44956.46429398148</v>
      </c>
      <c r="B378" s="38" t="s">
        <v>31</v>
      </c>
    </row>
    <row r="379" spans="1:2" x14ac:dyDescent="0.25">
      <c r="A379" s="39">
        <v>44956.464409722219</v>
      </c>
      <c r="B379" s="38" t="s">
        <v>31</v>
      </c>
    </row>
    <row r="380" spans="1:2" x14ac:dyDescent="0.25">
      <c r="A380" s="39">
        <v>44956.464641203704</v>
      </c>
      <c r="B380" s="38" t="s">
        <v>31</v>
      </c>
    </row>
    <row r="381" spans="1:2" x14ac:dyDescent="0.25">
      <c r="A381" s="39">
        <v>44956.464756944442</v>
      </c>
      <c r="B381" s="38" t="s">
        <v>31</v>
      </c>
    </row>
    <row r="382" spans="1:2" x14ac:dyDescent="0.25">
      <c r="A382" s="39">
        <v>44956.464872685188</v>
      </c>
      <c r="B382" s="38" t="s">
        <v>31</v>
      </c>
    </row>
    <row r="383" spans="1:2" x14ac:dyDescent="0.25">
      <c r="A383" s="39">
        <v>44956.464988425927</v>
      </c>
      <c r="B383" s="38" t="s">
        <v>31</v>
      </c>
    </row>
    <row r="384" spans="1:2" x14ac:dyDescent="0.25">
      <c r="A384" s="39">
        <v>44956.465104166666</v>
      </c>
      <c r="B384" s="38" t="s">
        <v>31</v>
      </c>
    </row>
    <row r="385" spans="1:2" x14ac:dyDescent="0.25">
      <c r="A385" s="39">
        <v>44956.487222222226</v>
      </c>
      <c r="B385" s="38" t="s">
        <v>31</v>
      </c>
    </row>
    <row r="386" spans="1:2" x14ac:dyDescent="0.25">
      <c r="A386" s="39">
        <v>44956.487685185188</v>
      </c>
      <c r="B386" s="38" t="s">
        <v>31</v>
      </c>
    </row>
    <row r="387" spans="1:2" x14ac:dyDescent="0.25">
      <c r="A387" s="39">
        <v>44956.488032407404</v>
      </c>
      <c r="B387" s="38" t="s">
        <v>31</v>
      </c>
    </row>
    <row r="388" spans="1:2" x14ac:dyDescent="0.25">
      <c r="A388" s="39">
        <v>44956.48814814815</v>
      </c>
      <c r="B388" s="38" t="s">
        <v>31</v>
      </c>
    </row>
    <row r="389" spans="1:2" x14ac:dyDescent="0.25">
      <c r="A389" s="39">
        <v>44956.488263888888</v>
      </c>
      <c r="B389" s="38" t="s">
        <v>31</v>
      </c>
    </row>
    <row r="390" spans="1:2" x14ac:dyDescent="0.25">
      <c r="A390" s="39">
        <v>44956.488379629627</v>
      </c>
      <c r="B390" s="38" t="s">
        <v>31</v>
      </c>
    </row>
    <row r="391" spans="1:2" x14ac:dyDescent="0.25">
      <c r="A391" s="39">
        <v>44956.488495370373</v>
      </c>
      <c r="B391" s="38" t="s">
        <v>31</v>
      </c>
    </row>
    <row r="392" spans="1:2" x14ac:dyDescent="0.25">
      <c r="A392" s="39">
        <v>44956.488611111112</v>
      </c>
      <c r="B392" s="38" t="s">
        <v>31</v>
      </c>
    </row>
    <row r="393" spans="1:2" x14ac:dyDescent="0.25">
      <c r="A393" s="39">
        <v>44956.488726851851</v>
      </c>
      <c r="B393" s="38" t="s">
        <v>31</v>
      </c>
    </row>
    <row r="394" spans="1:2" x14ac:dyDescent="0.25">
      <c r="A394" s="39">
        <v>44956.489074074074</v>
      </c>
      <c r="B394" s="38" t="s">
        <v>31</v>
      </c>
    </row>
    <row r="395" spans="1:2" x14ac:dyDescent="0.25">
      <c r="A395" s="39">
        <v>44956.489189814813</v>
      </c>
      <c r="B395" s="38" t="s">
        <v>31</v>
      </c>
    </row>
    <row r="396" spans="1:2" x14ac:dyDescent="0.25">
      <c r="A396" s="39">
        <v>44956.489305555559</v>
      </c>
      <c r="B396" s="38" t="s">
        <v>31</v>
      </c>
    </row>
    <row r="397" spans="1:2" x14ac:dyDescent="0.25">
      <c r="A397" s="39">
        <v>44956.489421296297</v>
      </c>
      <c r="B397" s="38" t="s">
        <v>31</v>
      </c>
    </row>
    <row r="398" spans="1:2" x14ac:dyDescent="0.25">
      <c r="A398" s="39">
        <v>44956.489537037036</v>
      </c>
      <c r="B398" s="38" t="s">
        <v>31</v>
      </c>
    </row>
    <row r="399" spans="1:2" x14ac:dyDescent="0.25">
      <c r="A399" s="39">
        <v>44956.489652777775</v>
      </c>
      <c r="B399" s="38" t="s">
        <v>31</v>
      </c>
    </row>
    <row r="400" spans="1:2" x14ac:dyDescent="0.25">
      <c r="A400" s="39">
        <v>44956.489768518521</v>
      </c>
      <c r="B400" s="38" t="s">
        <v>31</v>
      </c>
    </row>
    <row r="401" spans="1:2" x14ac:dyDescent="0.25">
      <c r="A401" s="39">
        <v>44956.489884259259</v>
      </c>
      <c r="B401" s="38" t="s">
        <v>31</v>
      </c>
    </row>
    <row r="402" spans="1:2" x14ac:dyDescent="0.25">
      <c r="A402" s="39">
        <v>44956.497407407405</v>
      </c>
      <c r="B402" s="38" t="s">
        <v>31</v>
      </c>
    </row>
    <row r="403" spans="1:2" x14ac:dyDescent="0.25">
      <c r="A403" s="39">
        <v>44956.498564814814</v>
      </c>
      <c r="B403" s="38" t="s">
        <v>31</v>
      </c>
    </row>
    <row r="404" spans="1:2" x14ac:dyDescent="0.25">
      <c r="A404" s="39">
        <v>44956.498692129629</v>
      </c>
      <c r="B404" s="38" t="s">
        <v>31</v>
      </c>
    </row>
    <row r="405" spans="1:2" x14ac:dyDescent="0.25">
      <c r="A405" s="39">
        <v>44956.498807870368</v>
      </c>
      <c r="B405" s="38" t="s">
        <v>31</v>
      </c>
    </row>
    <row r="406" spans="1:2" x14ac:dyDescent="0.25">
      <c r="A406" s="39">
        <v>44956.507719907408</v>
      </c>
      <c r="B406" s="38" t="s">
        <v>31</v>
      </c>
    </row>
    <row r="407" spans="1:2" x14ac:dyDescent="0.25">
      <c r="A407" s="39">
        <v>44956.507835648146</v>
      </c>
      <c r="B407" s="38" t="s">
        <v>31</v>
      </c>
    </row>
    <row r="408" spans="1:2" x14ac:dyDescent="0.25">
      <c r="A408" s="39">
        <v>44956.507951388892</v>
      </c>
      <c r="B408" s="38" t="s">
        <v>31</v>
      </c>
    </row>
    <row r="409" spans="1:2" x14ac:dyDescent="0.25">
      <c r="A409" s="39">
        <v>44956.508067129631</v>
      </c>
      <c r="B409" s="38" t="s">
        <v>31</v>
      </c>
    </row>
    <row r="410" spans="1:2" x14ac:dyDescent="0.25">
      <c r="A410" s="39">
        <v>44956.50818287037</v>
      </c>
      <c r="B410" s="38" t="s">
        <v>31</v>
      </c>
    </row>
    <row r="411" spans="1:2" x14ac:dyDescent="0.25">
      <c r="A411" s="39">
        <v>44956.511655092596</v>
      </c>
      <c r="B411" s="38" t="s">
        <v>31</v>
      </c>
    </row>
    <row r="412" spans="1:2" x14ac:dyDescent="0.25">
      <c r="A412" s="39">
        <v>44956.511770833335</v>
      </c>
      <c r="B412" s="38" t="s">
        <v>31</v>
      </c>
    </row>
    <row r="413" spans="1:2" x14ac:dyDescent="0.25">
      <c r="A413" s="39">
        <v>44957.448680555557</v>
      </c>
      <c r="B413" s="38" t="s">
        <v>31</v>
      </c>
    </row>
    <row r="414" spans="1:2" x14ac:dyDescent="0.25">
      <c r="A414" s="39">
        <v>44957.459444444445</v>
      </c>
      <c r="B414" s="38" t="s">
        <v>31</v>
      </c>
    </row>
    <row r="415" spans="1:2" x14ac:dyDescent="0.25">
      <c r="A415" s="39">
        <v>44957.480868055558</v>
      </c>
      <c r="B415" s="38" t="s">
        <v>31</v>
      </c>
    </row>
    <row r="416" spans="1:2" x14ac:dyDescent="0.25">
      <c r="A416" s="39">
        <v>44957.480983796297</v>
      </c>
      <c r="B416" s="38" t="s">
        <v>31</v>
      </c>
    </row>
    <row r="417" spans="1:2" x14ac:dyDescent="0.25">
      <c r="A417" s="39">
        <v>44957.481099537035</v>
      </c>
      <c r="B417" s="38" t="s">
        <v>31</v>
      </c>
    </row>
    <row r="418" spans="1:2" x14ac:dyDescent="0.25">
      <c r="A418" s="39">
        <v>44957.481215277781</v>
      </c>
      <c r="B418" s="38" t="s">
        <v>31</v>
      </c>
    </row>
    <row r="419" spans="1:2" x14ac:dyDescent="0.25">
      <c r="A419" s="39">
        <v>44957.48133101852</v>
      </c>
      <c r="B419" s="38" t="s">
        <v>31</v>
      </c>
    </row>
    <row r="420" spans="1:2" x14ac:dyDescent="0.25">
      <c r="A420" s="39">
        <v>44957.481446759259</v>
      </c>
      <c r="B420" s="38" t="s">
        <v>31</v>
      </c>
    </row>
    <row r="421" spans="1:2" x14ac:dyDescent="0.25">
      <c r="A421" s="39">
        <v>44957.481562499997</v>
      </c>
      <c r="B421" s="38" t="s">
        <v>31</v>
      </c>
    </row>
    <row r="422" spans="1:2" x14ac:dyDescent="0.25">
      <c r="A422" s="39">
        <v>44957.481678240743</v>
      </c>
      <c r="B422" s="38" t="s">
        <v>31</v>
      </c>
    </row>
    <row r="423" spans="1:2" x14ac:dyDescent="0.25">
      <c r="A423" s="39">
        <v>44957.481793981482</v>
      </c>
      <c r="B423" s="38" t="s">
        <v>31</v>
      </c>
    </row>
    <row r="424" spans="1:2" x14ac:dyDescent="0.25">
      <c r="A424" s="39">
        <v>44957.481909722221</v>
      </c>
      <c r="B424" s="38" t="s">
        <v>31</v>
      </c>
    </row>
    <row r="425" spans="1:2" x14ac:dyDescent="0.25">
      <c r="A425" s="39">
        <v>44957.482025462959</v>
      </c>
      <c r="B425" s="38" t="s">
        <v>31</v>
      </c>
    </row>
    <row r="426" spans="1:2" x14ac:dyDescent="0.25">
      <c r="A426" s="39">
        <v>44957.482141203705</v>
      </c>
      <c r="B426" s="38" t="s">
        <v>31</v>
      </c>
    </row>
    <row r="427" spans="1:2" x14ac:dyDescent="0.25">
      <c r="A427" s="39">
        <v>44957.482256944444</v>
      </c>
      <c r="B427" s="38" t="s">
        <v>31</v>
      </c>
    </row>
    <row r="428" spans="1:2" x14ac:dyDescent="0.25">
      <c r="A428" s="39">
        <v>44957.482372685183</v>
      </c>
      <c r="B428" s="38" t="s">
        <v>31</v>
      </c>
    </row>
    <row r="429" spans="1:2" x14ac:dyDescent="0.25">
      <c r="A429" s="39">
        <v>44957.482488425929</v>
      </c>
      <c r="B429" s="38" t="s">
        <v>31</v>
      </c>
    </row>
    <row r="430" spans="1:2" x14ac:dyDescent="0.25">
      <c r="A430" s="39">
        <v>44957.482604166667</v>
      </c>
      <c r="B430" s="38" t="s">
        <v>31</v>
      </c>
    </row>
    <row r="431" spans="1:2" x14ac:dyDescent="0.25">
      <c r="A431" s="39">
        <v>44957.482719907406</v>
      </c>
      <c r="B431" s="38" t="s">
        <v>31</v>
      </c>
    </row>
    <row r="432" spans="1:2" x14ac:dyDescent="0.25">
      <c r="A432" s="39">
        <v>44957.482835648145</v>
      </c>
      <c r="B432" s="38" t="s">
        <v>31</v>
      </c>
    </row>
    <row r="433" spans="1:2" x14ac:dyDescent="0.25">
      <c r="A433" s="39">
        <v>44957.482951388891</v>
      </c>
      <c r="B433" s="38" t="s">
        <v>31</v>
      </c>
    </row>
    <row r="434" spans="1:2" x14ac:dyDescent="0.25">
      <c r="A434" s="39">
        <v>44957.483067129629</v>
      </c>
      <c r="B434" s="38" t="s">
        <v>31</v>
      </c>
    </row>
    <row r="435" spans="1:2" x14ac:dyDescent="0.25">
      <c r="A435" s="39">
        <v>44957.483182870368</v>
      </c>
      <c r="B435" s="38" t="s">
        <v>31</v>
      </c>
    </row>
    <row r="436" spans="1:2" x14ac:dyDescent="0.25">
      <c r="A436" s="39">
        <v>44957.483298611114</v>
      </c>
      <c r="B436" s="38" t="s">
        <v>31</v>
      </c>
    </row>
    <row r="437" spans="1:2" x14ac:dyDescent="0.25">
      <c r="A437" s="39">
        <v>44957.483414351853</v>
      </c>
      <c r="B437" s="38" t="s">
        <v>31</v>
      </c>
    </row>
    <row r="438" spans="1:2" x14ac:dyDescent="0.25">
      <c r="A438" s="39">
        <v>44957.483530092592</v>
      </c>
      <c r="B438" s="38" t="s">
        <v>31</v>
      </c>
    </row>
    <row r="439" spans="1:2" x14ac:dyDescent="0.25">
      <c r="A439" s="39">
        <v>44957.48364583333</v>
      </c>
      <c r="B439" s="38" t="s">
        <v>31</v>
      </c>
    </row>
    <row r="440" spans="1:2" x14ac:dyDescent="0.25">
      <c r="A440" s="39">
        <v>44957.483761574076</v>
      </c>
      <c r="B440" s="38" t="s">
        <v>31</v>
      </c>
    </row>
    <row r="441" spans="1:2" x14ac:dyDescent="0.25">
      <c r="A441" s="39">
        <v>44957.483877314815</v>
      </c>
      <c r="B441" s="38" t="s">
        <v>31</v>
      </c>
    </row>
    <row r="442" spans="1:2" x14ac:dyDescent="0.25">
      <c r="A442" s="39">
        <v>44957.483993055554</v>
      </c>
      <c r="B442" s="38" t="s">
        <v>31</v>
      </c>
    </row>
    <row r="443" spans="1:2" x14ac:dyDescent="0.25">
      <c r="A443" s="39">
        <v>44957.4841087963</v>
      </c>
      <c r="B443" s="38" t="s">
        <v>31</v>
      </c>
    </row>
    <row r="444" spans="1:2" x14ac:dyDescent="0.25">
      <c r="A444" s="39">
        <v>44957.484224537038</v>
      </c>
      <c r="B444" s="38" t="s">
        <v>31</v>
      </c>
    </row>
    <row r="445" spans="1:2" x14ac:dyDescent="0.25">
      <c r="A445" s="39">
        <v>44957.484340277777</v>
      </c>
      <c r="B445" s="38" t="s">
        <v>31</v>
      </c>
    </row>
    <row r="446" spans="1:2" x14ac:dyDescent="0.25">
      <c r="A446" s="39">
        <v>44957.484456018516</v>
      </c>
      <c r="B446" s="38" t="s">
        <v>31</v>
      </c>
    </row>
    <row r="447" spans="1:2" x14ac:dyDescent="0.25">
      <c r="A447" s="39">
        <v>44957.484571759262</v>
      </c>
      <c r="B447" s="38" t="s">
        <v>31</v>
      </c>
    </row>
    <row r="448" spans="1:2" x14ac:dyDescent="0.25">
      <c r="A448" s="39">
        <v>44957.4846875</v>
      </c>
      <c r="B448" s="38" t="s">
        <v>31</v>
      </c>
    </row>
    <row r="449" spans="1:2" x14ac:dyDescent="0.25">
      <c r="A449" s="39">
        <v>44957.484803240739</v>
      </c>
      <c r="B449" s="38" t="s">
        <v>31</v>
      </c>
    </row>
    <row r="450" spans="1:2" x14ac:dyDescent="0.25">
      <c r="A450" s="39">
        <v>44957.484918981485</v>
      </c>
      <c r="B450" s="38" t="s">
        <v>31</v>
      </c>
    </row>
    <row r="451" spans="1:2" x14ac:dyDescent="0.25">
      <c r="A451" s="39">
        <v>44957.485034722224</v>
      </c>
      <c r="B451" s="38" t="s">
        <v>31</v>
      </c>
    </row>
    <row r="452" spans="1:2" x14ac:dyDescent="0.25">
      <c r="A452" s="39">
        <v>44957.485150462962</v>
      </c>
      <c r="B452" s="38" t="s">
        <v>31</v>
      </c>
    </row>
    <row r="453" spans="1:2" x14ac:dyDescent="0.25">
      <c r="A453" s="39">
        <v>44957.485266203701</v>
      </c>
      <c r="B453" s="38" t="s">
        <v>31</v>
      </c>
    </row>
    <row r="454" spans="1:2" x14ac:dyDescent="0.25">
      <c r="A454" s="39">
        <v>44958.506828703707</v>
      </c>
      <c r="B454" s="38" t="s">
        <v>31</v>
      </c>
    </row>
    <row r="455" spans="1:2" x14ac:dyDescent="0.25">
      <c r="A455" s="39">
        <v>44958.506944444445</v>
      </c>
      <c r="B455" s="38" t="s">
        <v>31</v>
      </c>
    </row>
    <row r="456" spans="1:2" x14ac:dyDescent="0.25">
      <c r="A456" s="39">
        <v>44958.507060185184</v>
      </c>
      <c r="B456" s="38" t="s">
        <v>31</v>
      </c>
    </row>
    <row r="457" spans="1:2" x14ac:dyDescent="0.25">
      <c r="A457" s="39">
        <v>44958.507175925923</v>
      </c>
      <c r="B457" s="38" t="s">
        <v>31</v>
      </c>
    </row>
    <row r="458" spans="1:2" x14ac:dyDescent="0.25">
      <c r="A458" s="39">
        <v>44958.507407407407</v>
      </c>
      <c r="B458" s="38" t="s">
        <v>31</v>
      </c>
    </row>
    <row r="459" spans="1:2" x14ac:dyDescent="0.25">
      <c r="A459" s="39">
        <v>44958.507523148146</v>
      </c>
      <c r="B459" s="38" t="s">
        <v>31</v>
      </c>
    </row>
    <row r="460" spans="1:2" x14ac:dyDescent="0.25">
      <c r="A460" s="39">
        <v>44958.549201388887</v>
      </c>
      <c r="B460" s="38" t="s">
        <v>31</v>
      </c>
    </row>
    <row r="461" spans="1:2" x14ac:dyDescent="0.25">
      <c r="A461" s="39">
        <v>44958.549317129633</v>
      </c>
      <c r="B461" s="38" t="s">
        <v>31</v>
      </c>
    </row>
    <row r="462" spans="1:2" x14ac:dyDescent="0.25">
      <c r="A462" s="39">
        <v>44958.549432870372</v>
      </c>
      <c r="B462" s="38" t="s">
        <v>31</v>
      </c>
    </row>
    <row r="463" spans="1:2" x14ac:dyDescent="0.25">
      <c r="A463" s="39">
        <v>44958.552673611113</v>
      </c>
      <c r="B463" s="38" t="s">
        <v>31</v>
      </c>
    </row>
    <row r="464" spans="1:2" x14ac:dyDescent="0.25">
      <c r="A464" s="39">
        <v>44958.552789351852</v>
      </c>
      <c r="B464" s="38" t="s">
        <v>31</v>
      </c>
    </row>
    <row r="465" spans="1:2" x14ac:dyDescent="0.25">
      <c r="A465" s="39">
        <v>44958.553020833337</v>
      </c>
      <c r="B465" s="38" t="s">
        <v>31</v>
      </c>
    </row>
    <row r="466" spans="1:2" x14ac:dyDescent="0.25">
      <c r="A466" s="39">
        <v>44959.447199074071</v>
      </c>
      <c r="B466" s="38" t="s">
        <v>31</v>
      </c>
    </row>
    <row r="467" spans="1:2" x14ac:dyDescent="0.25">
      <c r="A467" s="39">
        <v>44959.447314814817</v>
      </c>
      <c r="B467" s="38" t="s">
        <v>31</v>
      </c>
    </row>
    <row r="468" spans="1:2" x14ac:dyDescent="0.25">
      <c r="A468" s="39">
        <v>44959.447430555556</v>
      </c>
      <c r="B468" s="38" t="s">
        <v>31</v>
      </c>
    </row>
    <row r="469" spans="1:2" x14ac:dyDescent="0.25">
      <c r="A469" s="39">
        <v>44959.447546296295</v>
      </c>
      <c r="B469" s="38" t="s">
        <v>31</v>
      </c>
    </row>
    <row r="470" spans="1:2" x14ac:dyDescent="0.25">
      <c r="A470" s="39">
        <v>44959.457962962966</v>
      </c>
      <c r="B470" s="38" t="s">
        <v>31</v>
      </c>
    </row>
    <row r="471" spans="1:2" x14ac:dyDescent="0.25">
      <c r="A471" s="39">
        <v>44959.475914351853</v>
      </c>
      <c r="B471" s="38" t="s">
        <v>31</v>
      </c>
    </row>
    <row r="472" spans="1:2" x14ac:dyDescent="0.25">
      <c r="A472" s="39">
        <v>44959.476030092592</v>
      </c>
      <c r="B472" s="38" t="s">
        <v>31</v>
      </c>
    </row>
    <row r="473" spans="1:2" x14ac:dyDescent="0.25">
      <c r="A473" s="39">
        <v>44959.493634259263</v>
      </c>
      <c r="B473" s="38" t="s">
        <v>31</v>
      </c>
    </row>
    <row r="474" spans="1:2" x14ac:dyDescent="0.25">
      <c r="A474" s="39">
        <v>44959.493750000001</v>
      </c>
      <c r="B474" s="38" t="s">
        <v>31</v>
      </c>
    </row>
    <row r="475" spans="1:2" x14ac:dyDescent="0.25">
      <c r="A475" s="39">
        <v>44959.494560185187</v>
      </c>
      <c r="B475" s="38" t="s">
        <v>31</v>
      </c>
    </row>
    <row r="476" spans="1:2" x14ac:dyDescent="0.25">
      <c r="A476" s="39">
        <v>44959.500578703701</v>
      </c>
      <c r="B476" s="38" t="s">
        <v>31</v>
      </c>
    </row>
    <row r="477" spans="1:2" x14ac:dyDescent="0.25">
      <c r="A477" s="39">
        <v>44959.500694444447</v>
      </c>
      <c r="B477" s="38" t="s">
        <v>31</v>
      </c>
    </row>
    <row r="478" spans="1:2" x14ac:dyDescent="0.25">
      <c r="A478" s="39">
        <v>44959.507175925923</v>
      </c>
      <c r="B478" s="38" t="s">
        <v>31</v>
      </c>
    </row>
    <row r="479" spans="1:2" x14ac:dyDescent="0.25">
      <c r="A479" s="39">
        <v>44959.507291666669</v>
      </c>
      <c r="B479" s="38" t="s">
        <v>31</v>
      </c>
    </row>
    <row r="480" spans="1:2" x14ac:dyDescent="0.25">
      <c r="A480" s="39">
        <v>44959.507407407407</v>
      </c>
      <c r="B480" s="38" t="s">
        <v>31</v>
      </c>
    </row>
    <row r="481" spans="1:2" x14ac:dyDescent="0.25">
      <c r="A481" s="39">
        <v>44959.507523148146</v>
      </c>
      <c r="B481" s="38" t="s">
        <v>31</v>
      </c>
    </row>
    <row r="482" spans="1:2" x14ac:dyDescent="0.25">
      <c r="A482" s="39">
        <v>44959.507638888892</v>
      </c>
      <c r="B482" s="38" t="s">
        <v>31</v>
      </c>
    </row>
    <row r="483" spans="1:2" x14ac:dyDescent="0.25">
      <c r="A483" s="39">
        <v>44959.507754629631</v>
      </c>
      <c r="B483" s="38" t="s">
        <v>31</v>
      </c>
    </row>
    <row r="484" spans="1:2" x14ac:dyDescent="0.25">
      <c r="A484" s="39">
        <v>44959.507870370369</v>
      </c>
      <c r="B484" s="38" t="s">
        <v>31</v>
      </c>
    </row>
    <row r="485" spans="1:2" x14ac:dyDescent="0.25">
      <c r="A485" s="39">
        <v>44959.51771990741</v>
      </c>
      <c r="B485" s="38" t="s">
        <v>31</v>
      </c>
    </row>
    <row r="486" spans="1:2" x14ac:dyDescent="0.25">
      <c r="A486" s="39">
        <v>44959.517835648148</v>
      </c>
      <c r="B486" s="38" t="s">
        <v>31</v>
      </c>
    </row>
    <row r="487" spans="1:2" x14ac:dyDescent="0.25">
      <c r="A487" s="39">
        <v>44959.517951388887</v>
      </c>
      <c r="B487" s="38" t="s">
        <v>31</v>
      </c>
    </row>
    <row r="488" spans="1:2" x14ac:dyDescent="0.25">
      <c r="A488" s="39">
        <v>44959.518067129633</v>
      </c>
      <c r="B488" s="38" t="s">
        <v>31</v>
      </c>
    </row>
    <row r="489" spans="1:2" x14ac:dyDescent="0.25">
      <c r="A489" s="39">
        <v>44959.51829861111</v>
      </c>
      <c r="B489" s="38" t="s">
        <v>31</v>
      </c>
    </row>
    <row r="490" spans="1:2" x14ac:dyDescent="0.25">
      <c r="A490" s="39">
        <v>44960.447708333333</v>
      </c>
      <c r="B490" s="38" t="s">
        <v>31</v>
      </c>
    </row>
    <row r="491" spans="1:2" x14ac:dyDescent="0.25">
      <c r="A491" s="39">
        <v>44961.502743055556</v>
      </c>
      <c r="B491" s="38" t="s">
        <v>31</v>
      </c>
    </row>
    <row r="492" spans="1:2" x14ac:dyDescent="0.25">
      <c r="A492" s="39">
        <v>44962.417893518519</v>
      </c>
      <c r="B492" s="38" t="s">
        <v>31</v>
      </c>
    </row>
    <row r="493" spans="1:2" x14ac:dyDescent="0.25">
      <c r="A493" s="39">
        <v>44962.418819444443</v>
      </c>
      <c r="B493" s="38" t="s">
        <v>31</v>
      </c>
    </row>
    <row r="494" spans="1:2" x14ac:dyDescent="0.25">
      <c r="A494" s="39">
        <v>44962.515949074077</v>
      </c>
      <c r="B494" s="38" t="s">
        <v>31</v>
      </c>
    </row>
    <row r="495" spans="1:2" x14ac:dyDescent="0.25">
      <c r="A495" s="39">
        <v>44962.516064814816</v>
      </c>
      <c r="B495" s="38" t="s">
        <v>31</v>
      </c>
    </row>
    <row r="496" spans="1:2" x14ac:dyDescent="0.25">
      <c r="A496" s="39">
        <v>44962.516180555554</v>
      </c>
      <c r="B496" s="38" t="s">
        <v>31</v>
      </c>
    </row>
    <row r="497" spans="1:2" x14ac:dyDescent="0.25">
      <c r="A497" s="39">
        <v>44962.516296296293</v>
      </c>
      <c r="B497" s="38" t="s">
        <v>31</v>
      </c>
    </row>
    <row r="498" spans="1:2" x14ac:dyDescent="0.25">
      <c r="A498" s="39">
        <v>44962.516412037039</v>
      </c>
      <c r="B498" s="38" t="s">
        <v>31</v>
      </c>
    </row>
    <row r="499" spans="1:2" x14ac:dyDescent="0.25">
      <c r="A499" s="39">
        <v>44964.538611111115</v>
      </c>
      <c r="B499" s="38" t="s">
        <v>31</v>
      </c>
    </row>
    <row r="500" spans="1:2" x14ac:dyDescent="0.25">
      <c r="A500" s="39">
        <v>44964.538726851853</v>
      </c>
      <c r="B500" s="38" t="s">
        <v>31</v>
      </c>
    </row>
    <row r="501" spans="1:2" x14ac:dyDescent="0.25">
      <c r="A501" s="39">
        <v>44964.539074074077</v>
      </c>
      <c r="B501" s="38" t="s">
        <v>31</v>
      </c>
    </row>
    <row r="502" spans="1:2" x14ac:dyDescent="0.25">
      <c r="A502" s="39">
        <v>44964.539305555554</v>
      </c>
      <c r="B502" s="38" t="s">
        <v>31</v>
      </c>
    </row>
    <row r="503" spans="1:2" x14ac:dyDescent="0.25">
      <c r="A503" s="39">
        <v>44964.539421296293</v>
      </c>
      <c r="B503" s="38" t="s">
        <v>31</v>
      </c>
    </row>
    <row r="504" spans="1:2" x14ac:dyDescent="0.25">
      <c r="A504" s="39">
        <v>44964.539537037039</v>
      </c>
      <c r="B504" s="38" t="s">
        <v>31</v>
      </c>
    </row>
    <row r="505" spans="1:2" x14ac:dyDescent="0.25">
      <c r="A505" s="39">
        <v>44964.539652777778</v>
      </c>
      <c r="B505" s="38" t="s">
        <v>31</v>
      </c>
    </row>
    <row r="506" spans="1:2" x14ac:dyDescent="0.25">
      <c r="A506" s="39">
        <v>44965.535567129627</v>
      </c>
      <c r="B506" s="38" t="s">
        <v>31</v>
      </c>
    </row>
    <row r="507" spans="1:2" x14ac:dyDescent="0.25">
      <c r="A507" s="39">
        <v>44965.535682870373</v>
      </c>
      <c r="B507" s="38" t="s">
        <v>31</v>
      </c>
    </row>
    <row r="508" spans="1:2" x14ac:dyDescent="0.25">
      <c r="A508" s="39">
        <v>44967.488437499997</v>
      </c>
      <c r="B508" s="38" t="s">
        <v>31</v>
      </c>
    </row>
    <row r="509" spans="1:2" x14ac:dyDescent="0.25">
      <c r="A509" s="39">
        <v>44967.488553240742</v>
      </c>
      <c r="B509" s="38" t="s">
        <v>31</v>
      </c>
    </row>
    <row r="510" spans="1:2" x14ac:dyDescent="0.25">
      <c r="A510" s="39">
        <v>44967.488668981481</v>
      </c>
      <c r="B510" s="38" t="s">
        <v>31</v>
      </c>
    </row>
    <row r="511" spans="1:2" x14ac:dyDescent="0.25">
      <c r="A511" s="39">
        <v>44967.48878472222</v>
      </c>
      <c r="B511" s="38" t="s">
        <v>31</v>
      </c>
    </row>
    <row r="512" spans="1:2" x14ac:dyDescent="0.25">
      <c r="A512" s="39">
        <v>44967.488900462966</v>
      </c>
      <c r="B512" s="38" t="s">
        <v>31</v>
      </c>
    </row>
    <row r="513" spans="1:2" x14ac:dyDescent="0.25">
      <c r="A513" s="39">
        <v>44967.527222222219</v>
      </c>
      <c r="B513" s="38" t="s">
        <v>31</v>
      </c>
    </row>
    <row r="514" spans="1:2" x14ac:dyDescent="0.25">
      <c r="A514" s="39">
        <v>44967.527337962965</v>
      </c>
      <c r="B514" s="38" t="s">
        <v>31</v>
      </c>
    </row>
    <row r="515" spans="1:2" x14ac:dyDescent="0.25">
      <c r="A515" s="39">
        <v>44967.527453703704</v>
      </c>
      <c r="B515" s="38" t="s">
        <v>31</v>
      </c>
    </row>
    <row r="516" spans="1:2" x14ac:dyDescent="0.25">
      <c r="A516" s="39">
        <v>44967.527569444443</v>
      </c>
      <c r="B516" s="38" t="s">
        <v>31</v>
      </c>
    </row>
    <row r="517" spans="1:2" x14ac:dyDescent="0.25">
      <c r="A517" s="39">
        <v>44967.527685185189</v>
      </c>
      <c r="B517" s="38" t="s">
        <v>31</v>
      </c>
    </row>
    <row r="518" spans="1:2" x14ac:dyDescent="0.25">
      <c r="A518" s="39">
        <v>44967.528263888889</v>
      </c>
      <c r="B518" s="38" t="s">
        <v>31</v>
      </c>
    </row>
    <row r="519" spans="1:2" x14ac:dyDescent="0.25">
      <c r="A519" s="39">
        <v>44972.468287037038</v>
      </c>
      <c r="B519" s="38" t="s">
        <v>31</v>
      </c>
    </row>
    <row r="520" spans="1:2" x14ac:dyDescent="0.25">
      <c r="A520" s="39">
        <v>44972.468402777777</v>
      </c>
      <c r="B520" s="38" t="s">
        <v>31</v>
      </c>
    </row>
    <row r="521" spans="1:2" x14ac:dyDescent="0.25">
      <c r="A521" s="39">
        <v>44972.498622685183</v>
      </c>
      <c r="B521" s="38" t="s">
        <v>31</v>
      </c>
    </row>
    <row r="522" spans="1:2" x14ac:dyDescent="0.25">
      <c r="A522" s="39">
        <v>44972.498738425929</v>
      </c>
      <c r="B522" s="38" t="s">
        <v>31</v>
      </c>
    </row>
    <row r="523" spans="1:2" x14ac:dyDescent="0.25">
      <c r="A523" s="39">
        <v>44976.535937499997</v>
      </c>
      <c r="B523" s="38" t="s">
        <v>31</v>
      </c>
    </row>
    <row r="524" spans="1:2" x14ac:dyDescent="0.25">
      <c r="A524" s="39">
        <v>44976.536053240743</v>
      </c>
      <c r="B524" s="38" t="s">
        <v>31</v>
      </c>
    </row>
    <row r="525" spans="1:2" x14ac:dyDescent="0.25">
      <c r="A525" s="39">
        <v>44976.536168981482</v>
      </c>
      <c r="B525" s="38" t="s">
        <v>31</v>
      </c>
    </row>
    <row r="526" spans="1:2" x14ac:dyDescent="0.25">
      <c r="A526" s="39">
        <v>44976.53628472222</v>
      </c>
      <c r="B526" s="38" t="s">
        <v>31</v>
      </c>
    </row>
    <row r="527" spans="1:2" x14ac:dyDescent="0.25">
      <c r="A527" s="39">
        <v>44976.536400462966</v>
      </c>
      <c r="B527" s="38" t="s">
        <v>31</v>
      </c>
    </row>
    <row r="528" spans="1:2" x14ac:dyDescent="0.25">
      <c r="A528" s="39">
        <v>44976.536516203705</v>
      </c>
      <c r="B528" s="38" t="s">
        <v>31</v>
      </c>
    </row>
    <row r="529" spans="1:2" x14ac:dyDescent="0.25">
      <c r="A529" s="39">
        <v>44977.473182870373</v>
      </c>
      <c r="B529" s="38" t="s">
        <v>31</v>
      </c>
    </row>
    <row r="530" spans="1:2" x14ac:dyDescent="0.25">
      <c r="A530" s="39">
        <v>44977.506990740738</v>
      </c>
      <c r="B530" s="38" t="s">
        <v>31</v>
      </c>
    </row>
    <row r="531" spans="1:2" x14ac:dyDescent="0.25">
      <c r="A531" s="39">
        <v>44977.507106481484</v>
      </c>
      <c r="B531" s="38" t="s">
        <v>31</v>
      </c>
    </row>
    <row r="532" spans="1:2" x14ac:dyDescent="0.25">
      <c r="A532" s="39">
        <v>44977.507222222222</v>
      </c>
      <c r="B532" s="38" t="s">
        <v>31</v>
      </c>
    </row>
    <row r="533" spans="1:2" x14ac:dyDescent="0.25">
      <c r="A533" s="39">
        <v>44977.513240740744</v>
      </c>
      <c r="B533" s="38" t="s">
        <v>31</v>
      </c>
    </row>
    <row r="534" spans="1:2" x14ac:dyDescent="0.25">
      <c r="A534" s="39">
        <v>44977.513356481482</v>
      </c>
      <c r="B534" s="38" t="s">
        <v>31</v>
      </c>
    </row>
    <row r="535" spans="1:2" x14ac:dyDescent="0.25">
      <c r="A535" s="39">
        <v>44977.525856481479</v>
      </c>
      <c r="B535" s="38" t="s">
        <v>31</v>
      </c>
    </row>
    <row r="536" spans="1:2" x14ac:dyDescent="0.25">
      <c r="A536" s="39">
        <v>44977.525972222225</v>
      </c>
      <c r="B536" s="38" t="s">
        <v>31</v>
      </c>
    </row>
    <row r="537" spans="1:2" x14ac:dyDescent="0.25">
      <c r="A537" s="39">
        <v>44977.526087962964</v>
      </c>
      <c r="B537" s="38" t="s">
        <v>31</v>
      </c>
    </row>
    <row r="538" spans="1:2" x14ac:dyDescent="0.25">
      <c r="A538" s="39">
        <v>44977.526203703703</v>
      </c>
      <c r="B538" s="38" t="s">
        <v>31</v>
      </c>
    </row>
    <row r="539" spans="1:2" x14ac:dyDescent="0.25">
      <c r="A539" s="39">
        <v>44977.526319444441</v>
      </c>
      <c r="B539" s="38" t="s">
        <v>31</v>
      </c>
    </row>
    <row r="540" spans="1:2" x14ac:dyDescent="0.25">
      <c r="A540" s="39">
        <v>44977.526435185187</v>
      </c>
      <c r="B540" s="38" t="s">
        <v>31</v>
      </c>
    </row>
    <row r="541" spans="1:2" x14ac:dyDescent="0.25">
      <c r="A541" s="39">
        <v>44977.527245370373</v>
      </c>
      <c r="B541" s="38" t="s">
        <v>31</v>
      </c>
    </row>
    <row r="542" spans="1:2" x14ac:dyDescent="0.25">
      <c r="A542" s="39">
        <v>44977.527361111112</v>
      </c>
      <c r="B542" s="38" t="s">
        <v>31</v>
      </c>
    </row>
    <row r="543" spans="1:2" x14ac:dyDescent="0.25">
      <c r="A543" s="39">
        <v>44977.52747685185</v>
      </c>
      <c r="B543" s="38" t="s">
        <v>31</v>
      </c>
    </row>
    <row r="544" spans="1:2" x14ac:dyDescent="0.25">
      <c r="A544" s="39">
        <v>44977.538946759261</v>
      </c>
      <c r="B544" s="38" t="s">
        <v>31</v>
      </c>
    </row>
    <row r="545" spans="1:2" x14ac:dyDescent="0.25">
      <c r="A545" s="39">
        <v>44977.539756944447</v>
      </c>
      <c r="B545" s="38" t="s">
        <v>31</v>
      </c>
    </row>
    <row r="546" spans="1:2" x14ac:dyDescent="0.25">
      <c r="A546" s="39">
        <v>44978.485798611109</v>
      </c>
      <c r="B546" s="38" t="s">
        <v>31</v>
      </c>
    </row>
    <row r="547" spans="1:2" x14ac:dyDescent="0.25">
      <c r="A547" s="39">
        <v>44981.473587962966</v>
      </c>
      <c r="B547" s="38" t="s">
        <v>31</v>
      </c>
    </row>
    <row r="548" spans="1:2" x14ac:dyDescent="0.25">
      <c r="A548" s="39">
        <v>44981.473703703705</v>
      </c>
      <c r="B548" s="38" t="s">
        <v>31</v>
      </c>
    </row>
    <row r="549" spans="1:2" x14ac:dyDescent="0.25">
      <c r="A549" s="39">
        <v>44981.473819444444</v>
      </c>
      <c r="B549" s="38" t="s">
        <v>31</v>
      </c>
    </row>
    <row r="550" spans="1:2" x14ac:dyDescent="0.25">
      <c r="A550" s="39">
        <v>44981.473935185182</v>
      </c>
      <c r="B550" s="38" t="s">
        <v>31</v>
      </c>
    </row>
    <row r="551" spans="1:2" x14ac:dyDescent="0.25">
      <c r="A551" s="39">
        <v>44981.502187500002</v>
      </c>
      <c r="B551" s="38" t="s">
        <v>31</v>
      </c>
    </row>
    <row r="552" spans="1:2" x14ac:dyDescent="0.25">
      <c r="A552" s="39">
        <v>44981.502303240741</v>
      </c>
      <c r="B552" s="38" t="s">
        <v>31</v>
      </c>
    </row>
    <row r="553" spans="1:2" x14ac:dyDescent="0.25">
      <c r="A553" s="39">
        <v>44981.538888888892</v>
      </c>
      <c r="B553" s="38" t="s">
        <v>31</v>
      </c>
    </row>
    <row r="554" spans="1:2" x14ac:dyDescent="0.25">
      <c r="A554" s="39">
        <v>44981.539120370369</v>
      </c>
      <c r="B554" s="38" t="s">
        <v>31</v>
      </c>
    </row>
    <row r="555" spans="1:2" x14ac:dyDescent="0.25">
      <c r="A555" s="39">
        <v>44981.539236111108</v>
      </c>
      <c r="B555" s="38" t="s">
        <v>31</v>
      </c>
    </row>
    <row r="556" spans="1:2" x14ac:dyDescent="0.25">
      <c r="A556" s="39">
        <v>44981.539351851854</v>
      </c>
      <c r="B556" s="38" t="s">
        <v>31</v>
      </c>
    </row>
    <row r="557" spans="1:2" x14ac:dyDescent="0.25">
      <c r="A557" s="39">
        <v>44981.539467592593</v>
      </c>
      <c r="B557" s="38" t="s">
        <v>31</v>
      </c>
    </row>
    <row r="558" spans="1:2" x14ac:dyDescent="0.25">
      <c r="A558" s="39">
        <v>44981.539583333331</v>
      </c>
      <c r="B558" s="38" t="s">
        <v>31</v>
      </c>
    </row>
    <row r="559" spans="1:2" x14ac:dyDescent="0.25">
      <c r="A559" s="39">
        <v>44981.539699074077</v>
      </c>
      <c r="B559" s="38" t="s">
        <v>31</v>
      </c>
    </row>
    <row r="560" spans="1:2" x14ac:dyDescent="0.25">
      <c r="A560" s="39">
        <v>44981.539814814816</v>
      </c>
      <c r="B560" s="38" t="s">
        <v>31</v>
      </c>
    </row>
    <row r="561" spans="1:2" x14ac:dyDescent="0.25">
      <c r="A561" s="39">
        <v>44981.540393518517</v>
      </c>
      <c r="B561" s="38" t="s">
        <v>31</v>
      </c>
    </row>
    <row r="562" spans="1:2" x14ac:dyDescent="0.25">
      <c r="A562" s="39">
        <v>44981.562615740739</v>
      </c>
      <c r="B562" s="38" t="s">
        <v>31</v>
      </c>
    </row>
    <row r="563" spans="1:2" x14ac:dyDescent="0.25">
      <c r="A563" s="39">
        <v>44981.562731481485</v>
      </c>
      <c r="B563" s="38" t="s">
        <v>31</v>
      </c>
    </row>
    <row r="564" spans="1:2" x14ac:dyDescent="0.25">
      <c r="A564" s="39">
        <v>44983.521539351852</v>
      </c>
      <c r="B564" s="38" t="s">
        <v>31</v>
      </c>
    </row>
    <row r="565" spans="1:2" x14ac:dyDescent="0.25">
      <c r="A565" s="39">
        <v>44983.521655092591</v>
      </c>
      <c r="B565" s="38" t="s">
        <v>31</v>
      </c>
    </row>
    <row r="566" spans="1:2" x14ac:dyDescent="0.25">
      <c r="A566" s="39">
        <v>44983.521770833337</v>
      </c>
      <c r="B566" s="38" t="s">
        <v>31</v>
      </c>
    </row>
    <row r="567" spans="1:2" x14ac:dyDescent="0.25">
      <c r="A567" s="39">
        <v>44983.521886574075</v>
      </c>
      <c r="B567" s="38" t="s">
        <v>31</v>
      </c>
    </row>
    <row r="568" spans="1:2" x14ac:dyDescent="0.25">
      <c r="A568" s="39">
        <v>44983.522002314814</v>
      </c>
      <c r="B568" s="38" t="s">
        <v>31</v>
      </c>
    </row>
    <row r="569" spans="1:2" x14ac:dyDescent="0.25">
      <c r="A569" s="39">
        <v>44983.522118055553</v>
      </c>
      <c r="B569" s="38" t="s">
        <v>31</v>
      </c>
    </row>
    <row r="570" spans="1:2" x14ac:dyDescent="0.25">
      <c r="A570" s="39">
        <v>44983.522349537037</v>
      </c>
      <c r="B570" s="38" t="s">
        <v>31</v>
      </c>
    </row>
    <row r="571" spans="1:2" x14ac:dyDescent="0.25">
      <c r="A571" s="39">
        <v>44983.522465277776</v>
      </c>
      <c r="B571" s="38" t="s">
        <v>31</v>
      </c>
    </row>
    <row r="572" spans="1:2" x14ac:dyDescent="0.25">
      <c r="A572" s="39">
        <v>44985.478379629632</v>
      </c>
      <c r="B572" s="38" t="s">
        <v>31</v>
      </c>
    </row>
    <row r="573" spans="1:2" x14ac:dyDescent="0.25">
      <c r="A573" s="39">
        <v>44992.51394675926</v>
      </c>
      <c r="B573" s="38" t="s">
        <v>31</v>
      </c>
    </row>
    <row r="574" spans="1:2" x14ac:dyDescent="0.25">
      <c r="A574" s="39">
        <v>44993.476168981484</v>
      </c>
      <c r="B574" s="38" t="s">
        <v>31</v>
      </c>
    </row>
    <row r="575" spans="1:2" x14ac:dyDescent="0.25">
      <c r="A575" s="39">
        <v>44993.476284722223</v>
      </c>
      <c r="B575" s="38" t="s">
        <v>31</v>
      </c>
    </row>
    <row r="576" spans="1:2" x14ac:dyDescent="0.25">
      <c r="A576" s="39">
        <v>44993.476400462961</v>
      </c>
      <c r="B576" s="38" t="s">
        <v>31</v>
      </c>
    </row>
    <row r="577" spans="1:2" x14ac:dyDescent="0.25">
      <c r="A577" s="39">
        <v>44993.520624999997</v>
      </c>
      <c r="B577" s="38" t="s">
        <v>31</v>
      </c>
    </row>
    <row r="578" spans="1:2" x14ac:dyDescent="0.25">
      <c r="A578" s="39">
        <v>44993.520740740743</v>
      </c>
      <c r="B578" s="38" t="s">
        <v>31</v>
      </c>
    </row>
    <row r="579" spans="1:2" x14ac:dyDescent="0.25">
      <c r="A579" s="39">
        <v>44993.524675925924</v>
      </c>
      <c r="B579" s="38" t="s">
        <v>31</v>
      </c>
    </row>
    <row r="580" spans="1:2" x14ac:dyDescent="0.25">
      <c r="A580" s="39">
        <v>44993.524791666663</v>
      </c>
      <c r="B580" s="38" t="s">
        <v>31</v>
      </c>
    </row>
    <row r="581" spans="1:2" x14ac:dyDescent="0.25">
      <c r="A581" s="39">
        <v>44993.524907407409</v>
      </c>
      <c r="B581" s="38" t="s">
        <v>31</v>
      </c>
    </row>
    <row r="582" spans="1:2" x14ac:dyDescent="0.25">
      <c r="A582" s="39">
        <v>44993.525023148148</v>
      </c>
      <c r="B582" s="38" t="s">
        <v>31</v>
      </c>
    </row>
    <row r="583" spans="1:2" x14ac:dyDescent="0.25">
      <c r="A583" s="39">
        <v>44993.525138888886</v>
      </c>
      <c r="B583" s="38" t="s">
        <v>31</v>
      </c>
    </row>
    <row r="584" spans="1:2" x14ac:dyDescent="0.25">
      <c r="A584" s="39">
        <v>44993.525254629632</v>
      </c>
      <c r="B584" s="38" t="s">
        <v>31</v>
      </c>
    </row>
    <row r="585" spans="1:2" x14ac:dyDescent="0.25">
      <c r="A585" s="39">
        <v>44993.525601851848</v>
      </c>
      <c r="B585" s="38" t="s">
        <v>31</v>
      </c>
    </row>
    <row r="586" spans="1:2" x14ac:dyDescent="0.25">
      <c r="A586" s="39">
        <v>44993.525717592594</v>
      </c>
      <c r="B586" s="38" t="s">
        <v>31</v>
      </c>
    </row>
    <row r="587" spans="1:2" x14ac:dyDescent="0.25">
      <c r="A587" s="39">
        <v>44993.525833333333</v>
      </c>
      <c r="B587" s="38" t="s">
        <v>31</v>
      </c>
    </row>
    <row r="588" spans="1:2" x14ac:dyDescent="0.25">
      <c r="A588" s="39">
        <v>44993.525949074072</v>
      </c>
      <c r="B588" s="38" t="s">
        <v>31</v>
      </c>
    </row>
    <row r="589" spans="1:2" x14ac:dyDescent="0.25">
      <c r="A589" s="39">
        <v>44993.526064814818</v>
      </c>
      <c r="B589" s="38" t="s">
        <v>31</v>
      </c>
    </row>
    <row r="590" spans="1:2" x14ac:dyDescent="0.25">
      <c r="A590" s="39">
        <v>44994.567974537036</v>
      </c>
      <c r="B590" s="38" t="s">
        <v>31</v>
      </c>
    </row>
    <row r="591" spans="1:2" x14ac:dyDescent="0.25">
      <c r="A591" s="39">
        <v>44994.56832175926</v>
      </c>
      <c r="B591" s="38" t="s">
        <v>31</v>
      </c>
    </row>
    <row r="592" spans="1:2" x14ac:dyDescent="0.25">
      <c r="A592" s="39">
        <v>44994.568437499998</v>
      </c>
      <c r="B592" s="38" t="s">
        <v>31</v>
      </c>
    </row>
    <row r="593" spans="1:2" x14ac:dyDescent="0.25">
      <c r="A593" s="39">
        <v>44994.568553240744</v>
      </c>
      <c r="B593" s="38" t="s">
        <v>31</v>
      </c>
    </row>
    <row r="594" spans="1:2" x14ac:dyDescent="0.25">
      <c r="A594" s="39">
        <v>44995.426041666666</v>
      </c>
      <c r="B594" s="38" t="s">
        <v>31</v>
      </c>
    </row>
    <row r="595" spans="1:2" x14ac:dyDescent="0.25">
      <c r="A595" s="39">
        <v>44995.443981481483</v>
      </c>
      <c r="B595" s="38" t="s">
        <v>31</v>
      </c>
    </row>
    <row r="596" spans="1:2" x14ac:dyDescent="0.25">
      <c r="A596" s="39">
        <v>44995.467824074076</v>
      </c>
      <c r="B596" s="38" t="s">
        <v>31</v>
      </c>
    </row>
    <row r="597" spans="1:2" x14ac:dyDescent="0.25">
      <c r="A597" s="39">
        <v>44995.467939814815</v>
      </c>
      <c r="B597" s="38" t="s">
        <v>31</v>
      </c>
    </row>
    <row r="598" spans="1:2" x14ac:dyDescent="0.25">
      <c r="A598" s="39">
        <v>44995.469328703701</v>
      </c>
      <c r="B598" s="38" t="s">
        <v>31</v>
      </c>
    </row>
    <row r="599" spans="1:2" x14ac:dyDescent="0.25">
      <c r="A599" s="39">
        <v>44995.471180555556</v>
      </c>
      <c r="B599" s="38" t="s">
        <v>31</v>
      </c>
    </row>
    <row r="600" spans="1:2" x14ac:dyDescent="0.25">
      <c r="A600" s="39">
        <v>44995.47152777778</v>
      </c>
      <c r="B600" s="38" t="s">
        <v>31</v>
      </c>
    </row>
    <row r="601" spans="1:2" x14ac:dyDescent="0.25">
      <c r="A601" s="39">
        <v>44995.513321759259</v>
      </c>
      <c r="B601" s="38" t="s">
        <v>31</v>
      </c>
    </row>
    <row r="602" spans="1:2" x14ac:dyDescent="0.25">
      <c r="A602" s="39">
        <v>44995.531724537039</v>
      </c>
      <c r="B602" s="38" t="s">
        <v>31</v>
      </c>
    </row>
    <row r="603" spans="1:2" x14ac:dyDescent="0.25">
      <c r="A603" s="39">
        <v>44995.531840277778</v>
      </c>
      <c r="B603" s="38" t="s">
        <v>31</v>
      </c>
    </row>
    <row r="604" spans="1:2" x14ac:dyDescent="0.25">
      <c r="A604" s="39">
        <v>44996.426145833335</v>
      </c>
      <c r="B604" s="38" t="s">
        <v>31</v>
      </c>
    </row>
    <row r="605" spans="1:2" x14ac:dyDescent="0.25">
      <c r="A605" s="39">
        <v>44996.426261574074</v>
      </c>
      <c r="B605" s="38" t="s">
        <v>31</v>
      </c>
    </row>
    <row r="606" spans="1:2" x14ac:dyDescent="0.25">
      <c r="A606" s="39">
        <v>44996.537870370368</v>
      </c>
      <c r="B606" s="38" t="s">
        <v>31</v>
      </c>
    </row>
    <row r="607" spans="1:2" x14ac:dyDescent="0.25">
      <c r="A607" s="39">
        <v>44999.511041666665</v>
      </c>
      <c r="B607" s="38" t="s">
        <v>31</v>
      </c>
    </row>
    <row r="608" spans="1:2" x14ac:dyDescent="0.25">
      <c r="A608" s="39">
        <v>44999.511157407411</v>
      </c>
      <c r="B608" s="38" t="s">
        <v>31</v>
      </c>
    </row>
    <row r="609" spans="1:2" x14ac:dyDescent="0.25">
      <c r="A609" s="39">
        <v>44999.511273148149</v>
      </c>
      <c r="B609" s="38" t="s">
        <v>31</v>
      </c>
    </row>
    <row r="610" spans="1:2" x14ac:dyDescent="0.25">
      <c r="A610" s="39">
        <v>44999.511388888888</v>
      </c>
      <c r="B610" s="38" t="s">
        <v>31</v>
      </c>
    </row>
    <row r="611" spans="1:2" x14ac:dyDescent="0.25">
      <c r="A611" s="39">
        <v>45003.469409722224</v>
      </c>
      <c r="B611" s="38" t="s">
        <v>31</v>
      </c>
    </row>
    <row r="612" spans="1:2" x14ac:dyDescent="0.25">
      <c r="A612" s="39">
        <v>45003.469525462962</v>
      </c>
      <c r="B612" s="38" t="s">
        <v>31</v>
      </c>
    </row>
    <row r="613" spans="1:2" x14ac:dyDescent="0.25">
      <c r="A613" s="39">
        <v>45003.469756944447</v>
      </c>
      <c r="B613" s="38" t="s">
        <v>31</v>
      </c>
    </row>
    <row r="614" spans="1:2" x14ac:dyDescent="0.25">
      <c r="A614" s="39">
        <v>45003.469872685186</v>
      </c>
      <c r="B614" s="38" t="s">
        <v>31</v>
      </c>
    </row>
    <row r="615" spans="1:2" x14ac:dyDescent="0.25">
      <c r="A615" s="39">
        <v>45003.475081018521</v>
      </c>
      <c r="B615" s="38" t="s">
        <v>31</v>
      </c>
    </row>
    <row r="616" spans="1:2" x14ac:dyDescent="0.25">
      <c r="A616" s="39">
        <v>45003.478437500002</v>
      </c>
      <c r="B616" s="38" t="s">
        <v>31</v>
      </c>
    </row>
    <row r="617" spans="1:2" x14ac:dyDescent="0.25">
      <c r="A617" s="39">
        <v>45003.47855324074</v>
      </c>
      <c r="B617" s="38" t="s">
        <v>31</v>
      </c>
    </row>
    <row r="618" spans="1:2" x14ac:dyDescent="0.25">
      <c r="A618" s="39">
        <v>45003.492673611108</v>
      </c>
      <c r="B618" s="38" t="s">
        <v>31</v>
      </c>
    </row>
    <row r="619" spans="1:2" x14ac:dyDescent="0.25">
      <c r="A619" s="39">
        <v>45003.49359953704</v>
      </c>
      <c r="B619" s="38" t="s">
        <v>31</v>
      </c>
    </row>
    <row r="620" spans="1:2" x14ac:dyDescent="0.25">
      <c r="A620" s="39">
        <v>45003.494062500002</v>
      </c>
      <c r="B620" s="38" t="s">
        <v>31</v>
      </c>
    </row>
    <row r="621" spans="1:2" x14ac:dyDescent="0.25">
      <c r="A621" s="39">
        <v>45003.49858796296</v>
      </c>
      <c r="B621" s="38" t="s">
        <v>31</v>
      </c>
    </row>
    <row r="622" spans="1:2" x14ac:dyDescent="0.25">
      <c r="A622" s="39">
        <v>45003.499166666668</v>
      </c>
      <c r="B622" s="38" t="s">
        <v>31</v>
      </c>
    </row>
    <row r="623" spans="1:2" x14ac:dyDescent="0.25">
      <c r="A623" s="39">
        <v>45003.499282407407</v>
      </c>
      <c r="B623" s="38" t="s">
        <v>31</v>
      </c>
    </row>
    <row r="624" spans="1:2" x14ac:dyDescent="0.25">
      <c r="A624" s="39">
        <v>45003.499398148146</v>
      </c>
      <c r="B624" s="38" t="s">
        <v>31</v>
      </c>
    </row>
    <row r="625" spans="1:2" x14ac:dyDescent="0.25">
      <c r="A625" s="39">
        <v>45003.499513888892</v>
      </c>
      <c r="B625" s="38" t="s">
        <v>31</v>
      </c>
    </row>
    <row r="626" spans="1:2" x14ac:dyDescent="0.25">
      <c r="A626" s="39">
        <v>45003.49962962963</v>
      </c>
      <c r="B626" s="38" t="s">
        <v>31</v>
      </c>
    </row>
    <row r="627" spans="1:2" x14ac:dyDescent="0.25">
      <c r="A627" s="39">
        <v>45003.500671296293</v>
      </c>
      <c r="B627" s="38" t="s">
        <v>31</v>
      </c>
    </row>
    <row r="628" spans="1:2" x14ac:dyDescent="0.25">
      <c r="A628" s="39">
        <v>45003.500787037039</v>
      </c>
      <c r="B628" s="38" t="s">
        <v>31</v>
      </c>
    </row>
    <row r="629" spans="1:2" x14ac:dyDescent="0.25">
      <c r="A629" s="39">
        <v>45003.507962962962</v>
      </c>
      <c r="B629" s="38" t="s">
        <v>31</v>
      </c>
    </row>
    <row r="630" spans="1:2" x14ac:dyDescent="0.25">
      <c r="A630" s="39">
        <v>45003.513749999998</v>
      </c>
      <c r="B630" s="38" t="s">
        <v>31</v>
      </c>
    </row>
    <row r="631" spans="1:2" x14ac:dyDescent="0.25">
      <c r="A631" s="39">
        <v>45003.550682870373</v>
      </c>
      <c r="B631" s="38" t="s">
        <v>31</v>
      </c>
    </row>
    <row r="632" spans="1:2" x14ac:dyDescent="0.25">
      <c r="A632" s="39">
        <v>45025.544641203705</v>
      </c>
      <c r="B632" s="38" t="s">
        <v>31</v>
      </c>
    </row>
    <row r="633" spans="1:2" x14ac:dyDescent="0.25">
      <c r="A633" s="39">
        <v>45030.51630787037</v>
      </c>
      <c r="B633" s="38" t="s">
        <v>31</v>
      </c>
    </row>
    <row r="634" spans="1:2" x14ac:dyDescent="0.25">
      <c r="A634" s="39">
        <v>45030.517581018517</v>
      </c>
      <c r="B634" s="38" t="s">
        <v>31</v>
      </c>
    </row>
    <row r="635" spans="1:2" x14ac:dyDescent="0.25">
      <c r="A635" s="39">
        <v>45030.517928240741</v>
      </c>
      <c r="B635" s="38" t="s">
        <v>31</v>
      </c>
    </row>
    <row r="636" spans="1:2" x14ac:dyDescent="0.25">
      <c r="A636" s="39">
        <v>45030.518043981479</v>
      </c>
      <c r="B636" s="38" t="s">
        <v>31</v>
      </c>
    </row>
    <row r="637" spans="1:2" x14ac:dyDescent="0.25">
      <c r="A637" s="39">
        <v>45037.455520833333</v>
      </c>
      <c r="B637" s="38" t="s">
        <v>31</v>
      </c>
    </row>
    <row r="638" spans="1:2" x14ac:dyDescent="0.25">
      <c r="A638" s="39">
        <v>45037.506701388891</v>
      </c>
      <c r="B638" s="38" t="s">
        <v>31</v>
      </c>
    </row>
    <row r="639" spans="1:2" x14ac:dyDescent="0.25">
      <c r="A639" s="39">
        <v>45037.50681712963</v>
      </c>
      <c r="B639" s="38" t="s">
        <v>31</v>
      </c>
    </row>
    <row r="640" spans="1:2" x14ac:dyDescent="0.25">
      <c r="A640" s="39">
        <v>45053.474733796298</v>
      </c>
      <c r="B640" s="38" t="s">
        <v>33</v>
      </c>
    </row>
    <row r="641" spans="1:4" x14ac:dyDescent="0.25">
      <c r="A641" s="39">
        <v>45054.48778935185</v>
      </c>
      <c r="B641" s="38" t="s">
        <v>33</v>
      </c>
    </row>
    <row r="642" spans="1:4" x14ac:dyDescent="0.25">
      <c r="A642" s="39">
        <v>45054.48605324074</v>
      </c>
      <c r="B642" s="38" t="s">
        <v>34</v>
      </c>
    </row>
    <row r="643" spans="1:4" x14ac:dyDescent="0.25">
      <c r="A643" s="39">
        <v>45054.486168981479</v>
      </c>
      <c r="B643" s="38" t="s">
        <v>34</v>
      </c>
    </row>
    <row r="644" spans="1:4" x14ac:dyDescent="0.25">
      <c r="A644" s="39">
        <v>45095.488634259258</v>
      </c>
      <c r="B644" s="38" t="s">
        <v>35</v>
      </c>
    </row>
    <row r="645" spans="1:4" x14ac:dyDescent="0.25">
      <c r="A645" s="39">
        <v>45104.460138888891</v>
      </c>
      <c r="B645" s="38" t="s">
        <v>35</v>
      </c>
    </row>
    <row r="646" spans="1:4" x14ac:dyDescent="0.25">
      <c r="A646" s="39">
        <v>45121.47415509259</v>
      </c>
      <c r="B646" s="38" t="s">
        <v>35</v>
      </c>
    </row>
    <row r="647" spans="1:4" x14ac:dyDescent="0.25">
      <c r="A647" s="39">
        <v>45124.499421296299</v>
      </c>
      <c r="B647" s="38" t="s">
        <v>35</v>
      </c>
    </row>
    <row r="648" spans="1:4" x14ac:dyDescent="0.25">
      <c r="A648" s="39">
        <v>45124.499537037038</v>
      </c>
      <c r="B648" s="38" t="s">
        <v>35</v>
      </c>
    </row>
    <row r="649" spans="1:4" x14ac:dyDescent="0.25">
      <c r="A649" s="39">
        <v>45124.499884259261</v>
      </c>
      <c r="B649" s="38" t="s">
        <v>35</v>
      </c>
      <c r="D649" s="35"/>
    </row>
    <row r="650" spans="1:4" x14ac:dyDescent="0.25">
      <c r="A650" s="39">
        <v>45124.5</v>
      </c>
      <c r="B650" s="38" t="s">
        <v>35</v>
      </c>
      <c r="D650" s="35"/>
    </row>
    <row r="651" spans="1:4" x14ac:dyDescent="0.25">
      <c r="A651" s="39">
        <v>45127.553182870368</v>
      </c>
      <c r="B651" s="38" t="s">
        <v>35</v>
      </c>
      <c r="D651" s="35"/>
    </row>
    <row r="652" spans="1:4" x14ac:dyDescent="0.25">
      <c r="A652" s="39">
        <v>45127.553298611114</v>
      </c>
      <c r="B652" s="38" t="s">
        <v>35</v>
      </c>
      <c r="D652" s="35"/>
    </row>
    <row r="653" spans="1:4" x14ac:dyDescent="0.25">
      <c r="A653" s="39">
        <v>45127.553414351853</v>
      </c>
      <c r="B653" s="38" t="s">
        <v>35</v>
      </c>
      <c r="D653" s="35"/>
    </row>
    <row r="654" spans="1:4" x14ac:dyDescent="0.25">
      <c r="A654" s="39">
        <v>45127.55364583333</v>
      </c>
      <c r="B654" s="38" t="s">
        <v>35</v>
      </c>
      <c r="D654" s="35"/>
    </row>
    <row r="655" spans="1:4" x14ac:dyDescent="0.25">
      <c r="A655" s="39">
        <v>45165.520462962966</v>
      </c>
      <c r="B655" s="38" t="s">
        <v>32</v>
      </c>
    </row>
    <row r="656" spans="1:4" x14ac:dyDescent="0.25">
      <c r="A656" s="39">
        <v>45165.525104166663</v>
      </c>
      <c r="B656" s="38" t="s">
        <v>33</v>
      </c>
    </row>
    <row r="657" spans="1:10" x14ac:dyDescent="0.25">
      <c r="A657" s="39">
        <v>45168.483587962961</v>
      </c>
      <c r="B657" s="38" t="s">
        <v>32</v>
      </c>
    </row>
    <row r="658" spans="1:10" x14ac:dyDescent="0.25">
      <c r="A658" s="39">
        <v>45168.483703703707</v>
      </c>
      <c r="B658" s="38" t="s">
        <v>32</v>
      </c>
      <c r="J658" s="35"/>
    </row>
    <row r="659" spans="1:10" x14ac:dyDescent="0.25">
      <c r="A659" s="39">
        <v>45168.528032407405</v>
      </c>
      <c r="B659" s="38" t="s">
        <v>32</v>
      </c>
      <c r="J659" s="35"/>
    </row>
    <row r="660" spans="1:10" x14ac:dyDescent="0.25">
      <c r="A660" s="39">
        <v>45175.494201388887</v>
      </c>
      <c r="B660" s="38" t="s">
        <v>31</v>
      </c>
      <c r="J660" s="35"/>
    </row>
    <row r="661" spans="1:10" x14ac:dyDescent="0.25">
      <c r="A661" s="39">
        <v>45180.494803240741</v>
      </c>
      <c r="B661" s="38" t="s">
        <v>31</v>
      </c>
      <c r="J661" s="35"/>
    </row>
    <row r="662" spans="1:10" x14ac:dyDescent="0.25">
      <c r="A662" s="39">
        <v>45180.49491898148</v>
      </c>
      <c r="B662" s="38" t="s">
        <v>31</v>
      </c>
      <c r="J662" s="35"/>
    </row>
    <row r="663" spans="1:10" x14ac:dyDescent="0.25">
      <c r="A663" s="39">
        <v>45198.461909722224</v>
      </c>
      <c r="B663" s="38" t="s">
        <v>31</v>
      </c>
      <c r="J663" s="35"/>
    </row>
    <row r="664" spans="1:10" x14ac:dyDescent="0.25">
      <c r="A664" s="39">
        <v>45198.462141203701</v>
      </c>
      <c r="B664" s="38" t="s">
        <v>31</v>
      </c>
      <c r="J664" s="35"/>
    </row>
    <row r="665" spans="1:10" x14ac:dyDescent="0.25">
      <c r="A665" s="39">
        <v>45198.462256944447</v>
      </c>
      <c r="B665" s="38" t="s">
        <v>31</v>
      </c>
      <c r="J665" s="35"/>
    </row>
    <row r="666" spans="1:10" x14ac:dyDescent="0.25">
      <c r="A666" s="39">
        <v>45198.462372685186</v>
      </c>
      <c r="B666" s="38" t="s">
        <v>31</v>
      </c>
      <c r="J666" s="35"/>
    </row>
    <row r="667" spans="1:10" x14ac:dyDescent="0.25">
      <c r="A667" s="39">
        <v>45198.496400462966</v>
      </c>
      <c r="B667" s="38" t="s">
        <v>31</v>
      </c>
      <c r="J667" s="35"/>
    </row>
    <row r="668" spans="1:10" x14ac:dyDescent="0.25">
      <c r="A668" s="39">
        <v>45198.496516203704</v>
      </c>
      <c r="B668" s="38" t="s">
        <v>31</v>
      </c>
      <c r="J668" s="35"/>
    </row>
    <row r="669" spans="1:10" x14ac:dyDescent="0.25">
      <c r="A669" s="39">
        <v>45198.516550925924</v>
      </c>
      <c r="B669" s="38" t="s">
        <v>31</v>
      </c>
    </row>
    <row r="670" spans="1:10" x14ac:dyDescent="0.25">
      <c r="A670" s="39">
        <v>45201.488356481481</v>
      </c>
      <c r="B670" s="38" t="s">
        <v>31</v>
      </c>
    </row>
    <row r="671" spans="1:10" x14ac:dyDescent="0.25">
      <c r="A671" s="39">
        <v>45213.454456018517</v>
      </c>
      <c r="B671" s="38" t="s">
        <v>31</v>
      </c>
    </row>
    <row r="672" spans="1:10" x14ac:dyDescent="0.25">
      <c r="A672" s="39">
        <v>45214.478518518517</v>
      </c>
      <c r="B672" s="38" t="s">
        <v>31</v>
      </c>
    </row>
    <row r="673" spans="1:2" x14ac:dyDescent="0.25">
      <c r="A673" s="39">
        <v>45214.478634259256</v>
      </c>
      <c r="B673" s="38" t="s">
        <v>31</v>
      </c>
    </row>
    <row r="674" spans="1:2" x14ac:dyDescent="0.25">
      <c r="A674" s="39">
        <v>45214.481296296297</v>
      </c>
      <c r="B674" s="38" t="s">
        <v>31</v>
      </c>
    </row>
    <row r="675" spans="1:2" x14ac:dyDescent="0.25">
      <c r="A675" s="39">
        <v>45214.481527777774</v>
      </c>
      <c r="B675" s="38" t="s">
        <v>31</v>
      </c>
    </row>
    <row r="676" spans="1:2" x14ac:dyDescent="0.25">
      <c r="A676" s="39">
        <v>45214.504687499997</v>
      </c>
      <c r="B676" s="38" t="s">
        <v>31</v>
      </c>
    </row>
    <row r="677" spans="1:2" x14ac:dyDescent="0.25">
      <c r="A677" s="39">
        <v>45214.504803240743</v>
      </c>
      <c r="B677" s="38" t="s">
        <v>31</v>
      </c>
    </row>
    <row r="678" spans="1:2" x14ac:dyDescent="0.25">
      <c r="A678" s="39">
        <v>45214.504918981482</v>
      </c>
      <c r="B678" s="38" t="s">
        <v>31</v>
      </c>
    </row>
    <row r="679" spans="1:2" x14ac:dyDescent="0.25">
      <c r="A679" s="39">
        <v>45221.399224537039</v>
      </c>
      <c r="B679" s="38" t="s">
        <v>31</v>
      </c>
    </row>
    <row r="680" spans="1:2" x14ac:dyDescent="0.25">
      <c r="A680" s="39">
        <v>45221.407337962963</v>
      </c>
      <c r="B680" s="38" t="s">
        <v>31</v>
      </c>
    </row>
    <row r="681" spans="1:2" x14ac:dyDescent="0.25">
      <c r="A681" s="39">
        <v>45221.418333333335</v>
      </c>
      <c r="B681" s="38" t="s">
        <v>31</v>
      </c>
    </row>
    <row r="682" spans="1:2" x14ac:dyDescent="0.25">
      <c r="A682" s="39">
        <v>45221.430717592593</v>
      </c>
      <c r="B682" s="38" t="s">
        <v>31</v>
      </c>
    </row>
    <row r="683" spans="1:2" x14ac:dyDescent="0.25">
      <c r="A683" s="39">
        <v>45221.438587962963</v>
      </c>
      <c r="B683" s="38" t="s">
        <v>31</v>
      </c>
    </row>
    <row r="684" spans="1:2" x14ac:dyDescent="0.25">
      <c r="A684" s="39">
        <v>45221.438703703701</v>
      </c>
      <c r="B684" s="38" t="s">
        <v>31</v>
      </c>
    </row>
    <row r="685" spans="1:2" x14ac:dyDescent="0.25">
      <c r="A685" s="39">
        <v>45221.441018518519</v>
      </c>
      <c r="B685" s="38" t="s">
        <v>31</v>
      </c>
    </row>
    <row r="686" spans="1:2" x14ac:dyDescent="0.25">
      <c r="A686" s="39">
        <v>45224.424131944441</v>
      </c>
      <c r="B686" s="38" t="s">
        <v>31</v>
      </c>
    </row>
    <row r="687" spans="1:2" x14ac:dyDescent="0.25">
      <c r="A687" s="39">
        <v>45229.457870370374</v>
      </c>
      <c r="B687" s="38" t="s">
        <v>31</v>
      </c>
    </row>
    <row r="688" spans="1:2" x14ac:dyDescent="0.25">
      <c r="A688" s="39">
        <v>45229.457986111112</v>
      </c>
      <c r="B688" s="38" t="s">
        <v>31</v>
      </c>
    </row>
    <row r="689" spans="1:2" x14ac:dyDescent="0.25">
      <c r="A689" s="39">
        <v>45232.46707175926</v>
      </c>
      <c r="B689" s="38" t="s">
        <v>31</v>
      </c>
    </row>
    <row r="690" spans="1:2" x14ac:dyDescent="0.25">
      <c r="A690" s="39">
        <v>45232.487905092596</v>
      </c>
      <c r="B690" s="38" t="s">
        <v>31</v>
      </c>
    </row>
    <row r="691" spans="1:2" x14ac:dyDescent="0.25">
      <c r="A691" s="39">
        <v>45232.488483796296</v>
      </c>
      <c r="B691" s="38" t="s">
        <v>31</v>
      </c>
    </row>
    <row r="692" spans="1:2" x14ac:dyDescent="0.25">
      <c r="A692" s="39">
        <v>45232.488599537035</v>
      </c>
      <c r="B692" s="38" t="s">
        <v>31</v>
      </c>
    </row>
    <row r="693" spans="1:2" x14ac:dyDescent="0.25">
      <c r="A693" s="39">
        <v>45233.423414351855</v>
      </c>
      <c r="B693" s="38" t="s">
        <v>31</v>
      </c>
    </row>
    <row r="694" spans="1:2" x14ac:dyDescent="0.25">
      <c r="A694" s="39">
        <v>45233.423530092594</v>
      </c>
      <c r="B694" s="38" t="s">
        <v>31</v>
      </c>
    </row>
    <row r="695" spans="1:2" x14ac:dyDescent="0.25">
      <c r="A695" s="39">
        <v>45233.423645833333</v>
      </c>
      <c r="B695" s="38" t="s">
        <v>31</v>
      </c>
    </row>
    <row r="696" spans="1:2" x14ac:dyDescent="0.25">
      <c r="A696" s="39">
        <v>45233.465671296297</v>
      </c>
      <c r="B696" s="38" t="s">
        <v>31</v>
      </c>
    </row>
    <row r="697" spans="1:2" x14ac:dyDescent="0.25">
      <c r="A697" s="39">
        <v>45233.465787037036</v>
      </c>
      <c r="B697" s="38" t="s">
        <v>31</v>
      </c>
    </row>
    <row r="698" spans="1:2" x14ac:dyDescent="0.25">
      <c r="A698" s="39">
        <v>45234.532407407409</v>
      </c>
      <c r="B698" s="38" t="s">
        <v>31</v>
      </c>
    </row>
    <row r="699" spans="1:2" x14ac:dyDescent="0.25">
      <c r="A699" s="39">
        <v>45234.532523148147</v>
      </c>
      <c r="B699" s="38" t="s">
        <v>31</v>
      </c>
    </row>
    <row r="700" spans="1:2" x14ac:dyDescent="0.25">
      <c r="A700" s="39">
        <v>45251.458541666667</v>
      </c>
      <c r="B700" s="38" t="s">
        <v>31</v>
      </c>
    </row>
    <row r="701" spans="1:2" x14ac:dyDescent="0.25">
      <c r="A701" s="39">
        <v>45251.460393518515</v>
      </c>
      <c r="B701" s="38" t="s">
        <v>31</v>
      </c>
    </row>
    <row r="702" spans="1:2" x14ac:dyDescent="0.25">
      <c r="A702" s="39">
        <v>45251.460509259261</v>
      </c>
      <c r="B702" s="38" t="s">
        <v>31</v>
      </c>
    </row>
    <row r="703" spans="1:2" x14ac:dyDescent="0.25">
      <c r="A703" s="39">
        <v>45251.460625</v>
      </c>
      <c r="B703" s="38" t="s">
        <v>31</v>
      </c>
    </row>
    <row r="704" spans="1:2" x14ac:dyDescent="0.25">
      <c r="A704" s="39">
        <v>45251.460740740738</v>
      </c>
      <c r="B704" s="38" t="s">
        <v>31</v>
      </c>
    </row>
    <row r="705" spans="1:2" x14ac:dyDescent="0.25">
      <c r="A705" s="39">
        <v>45251.460856481484</v>
      </c>
      <c r="B705" s="38" t="s">
        <v>31</v>
      </c>
    </row>
    <row r="706" spans="1:2" x14ac:dyDescent="0.25">
      <c r="A706" s="39">
        <v>45251.460972222223</v>
      </c>
      <c r="B706" s="38" t="s">
        <v>31</v>
      </c>
    </row>
    <row r="707" spans="1:2" x14ac:dyDescent="0.25">
      <c r="A707" s="39">
        <v>45251.471967592595</v>
      </c>
      <c r="B707" s="38" t="s">
        <v>31</v>
      </c>
    </row>
    <row r="708" spans="1:2" x14ac:dyDescent="0.25">
      <c r="A708" s="39">
        <v>45251.472083333334</v>
      </c>
      <c r="B708" s="38" t="s">
        <v>31</v>
      </c>
    </row>
    <row r="709" spans="1:2" x14ac:dyDescent="0.25">
      <c r="A709" s="39">
        <v>45251.472199074073</v>
      </c>
      <c r="B709" s="38" t="s">
        <v>31</v>
      </c>
    </row>
    <row r="710" spans="1:2" x14ac:dyDescent="0.25">
      <c r="A710" s="39">
        <v>45251.477407407408</v>
      </c>
      <c r="B710" s="38" t="s">
        <v>31</v>
      </c>
    </row>
    <row r="711" spans="1:2" x14ac:dyDescent="0.25">
      <c r="A711" s="39">
        <v>45251.477523148147</v>
      </c>
      <c r="B711" s="38" t="s">
        <v>31</v>
      </c>
    </row>
    <row r="712" spans="1:2" x14ac:dyDescent="0.25">
      <c r="A712" s="39">
        <v>45251.477638888886</v>
      </c>
      <c r="B712" s="38" t="s">
        <v>31</v>
      </c>
    </row>
    <row r="713" spans="1:2" x14ac:dyDescent="0.25">
      <c r="A713" s="39">
        <v>45251.477754629632</v>
      </c>
      <c r="B713" s="38" t="s">
        <v>31</v>
      </c>
    </row>
    <row r="714" spans="1:2" x14ac:dyDescent="0.25">
      <c r="A714" s="39">
        <v>45251.477870370371</v>
      </c>
      <c r="B714" s="38" t="s">
        <v>31</v>
      </c>
    </row>
    <row r="715" spans="1:2" x14ac:dyDescent="0.25">
      <c r="A715" s="39">
        <v>45251.477986111109</v>
      </c>
      <c r="B715" s="38" t="s">
        <v>31</v>
      </c>
    </row>
    <row r="716" spans="1:2" x14ac:dyDescent="0.25">
      <c r="A716" s="39">
        <v>45251.504143518519</v>
      </c>
      <c r="B716" s="38" t="s">
        <v>31</v>
      </c>
    </row>
    <row r="717" spans="1:2" x14ac:dyDescent="0.25">
      <c r="A717" s="39">
        <v>45251.506921296299</v>
      </c>
      <c r="B717" s="38" t="s">
        <v>31</v>
      </c>
    </row>
    <row r="718" spans="1:2" x14ac:dyDescent="0.25">
      <c r="A718" s="39">
        <v>45251.507037037038</v>
      </c>
      <c r="B718" s="38" t="s">
        <v>31</v>
      </c>
    </row>
    <row r="719" spans="1:2" x14ac:dyDescent="0.25">
      <c r="A719" s="39">
        <v>45251.507152777776</v>
      </c>
      <c r="B719" s="38" t="s">
        <v>31</v>
      </c>
    </row>
    <row r="720" spans="1:2" x14ac:dyDescent="0.25">
      <c r="A720" s="39">
        <v>45251.507268518515</v>
      </c>
      <c r="B720" s="38" t="s">
        <v>31</v>
      </c>
    </row>
    <row r="721" spans="1:2" x14ac:dyDescent="0.25">
      <c r="A721" s="39">
        <v>45251.507384259261</v>
      </c>
      <c r="B721" s="38" t="s">
        <v>31</v>
      </c>
    </row>
    <row r="722" spans="1:2" x14ac:dyDescent="0.25">
      <c r="A722" s="39">
        <v>45251.5075</v>
      </c>
      <c r="B722" s="38" t="s">
        <v>31</v>
      </c>
    </row>
    <row r="723" spans="1:2" x14ac:dyDescent="0.25">
      <c r="A723" s="39">
        <v>45251.507615740738</v>
      </c>
      <c r="B723" s="38" t="s">
        <v>31</v>
      </c>
    </row>
    <row r="724" spans="1:2" x14ac:dyDescent="0.25">
      <c r="A724" s="39">
        <v>45251.507731481484</v>
      </c>
      <c r="B724" s="38" t="s">
        <v>31</v>
      </c>
    </row>
    <row r="725" spans="1:2" x14ac:dyDescent="0.25">
      <c r="A725" s="39">
        <v>45251.507847222223</v>
      </c>
      <c r="B725" s="38" t="s">
        <v>31</v>
      </c>
    </row>
    <row r="726" spans="1:2" x14ac:dyDescent="0.25">
      <c r="A726" s="39">
        <v>45251.507962962962</v>
      </c>
      <c r="B726" s="38" t="s">
        <v>31</v>
      </c>
    </row>
    <row r="727" spans="1:2" x14ac:dyDescent="0.25">
      <c r="A727" s="39">
        <v>45251.5080787037</v>
      </c>
      <c r="B727" s="38" t="s">
        <v>31</v>
      </c>
    </row>
    <row r="728" spans="1:2" x14ac:dyDescent="0.25">
      <c r="A728" s="39">
        <v>45251.508194444446</v>
      </c>
      <c r="B728" s="38" t="s">
        <v>31</v>
      </c>
    </row>
    <row r="729" spans="1:2" x14ac:dyDescent="0.25">
      <c r="A729" s="39">
        <v>45251.508310185185</v>
      </c>
      <c r="B729" s="38" t="s">
        <v>31</v>
      </c>
    </row>
    <row r="730" spans="1:2" x14ac:dyDescent="0.25">
      <c r="A730" s="39">
        <v>45255.528634259259</v>
      </c>
      <c r="B730" s="38" t="s">
        <v>31</v>
      </c>
    </row>
    <row r="731" spans="1:2" x14ac:dyDescent="0.25">
      <c r="A731" s="39">
        <v>45255.528749999998</v>
      </c>
      <c r="B731" s="38" t="s">
        <v>31</v>
      </c>
    </row>
    <row r="732" spans="1:2" x14ac:dyDescent="0.25">
      <c r="A732" s="39">
        <v>45255.528865740744</v>
      </c>
      <c r="B732" s="38" t="s">
        <v>31</v>
      </c>
    </row>
    <row r="733" spans="1:2" x14ac:dyDescent="0.25">
      <c r="A733" s="39">
        <v>45255.532800925925</v>
      </c>
      <c r="B733" s="38" t="s">
        <v>31</v>
      </c>
    </row>
    <row r="734" spans="1:2" x14ac:dyDescent="0.25">
      <c r="A734" s="39">
        <v>45255.534189814818</v>
      </c>
      <c r="B734" s="38" t="s">
        <v>31</v>
      </c>
    </row>
    <row r="735" spans="1:2" x14ac:dyDescent="0.25">
      <c r="A735" s="39">
        <v>45255.534305555557</v>
      </c>
      <c r="B735" s="38" t="s">
        <v>31</v>
      </c>
    </row>
    <row r="736" spans="1:2" x14ac:dyDescent="0.25">
      <c r="A736" s="39">
        <v>45255.534421296295</v>
      </c>
      <c r="B736" s="38" t="s">
        <v>31</v>
      </c>
    </row>
    <row r="737" spans="1:2" x14ac:dyDescent="0.25">
      <c r="A737" s="39">
        <v>45255.534537037034</v>
      </c>
      <c r="B737" s="38" t="s">
        <v>31</v>
      </c>
    </row>
    <row r="738" spans="1:2" x14ac:dyDescent="0.25">
      <c r="A738" s="39">
        <v>45255.54415509259</v>
      </c>
      <c r="B738" s="38" t="s">
        <v>31</v>
      </c>
    </row>
    <row r="739" spans="1:2" x14ac:dyDescent="0.25">
      <c r="A739" s="39">
        <v>45255.546469907407</v>
      </c>
      <c r="B739" s="38" t="s">
        <v>31</v>
      </c>
    </row>
    <row r="740" spans="1:2" x14ac:dyDescent="0.25">
      <c r="A740" s="39">
        <v>45260.487025462964</v>
      </c>
      <c r="B740" s="38" t="s">
        <v>31</v>
      </c>
    </row>
    <row r="741" spans="1:2" x14ac:dyDescent="0.25">
      <c r="A741" s="39">
        <v>45260.489687499998</v>
      </c>
      <c r="B741" s="38" t="s">
        <v>31</v>
      </c>
    </row>
    <row r="742" spans="1:2" x14ac:dyDescent="0.25">
      <c r="A742" s="39">
        <v>45260.489803240744</v>
      </c>
      <c r="B742" s="38" t="s">
        <v>31</v>
      </c>
    </row>
    <row r="743" spans="1:2" x14ac:dyDescent="0.25">
      <c r="A743" s="39">
        <v>45260.493738425925</v>
      </c>
      <c r="B743" s="38" t="s">
        <v>31</v>
      </c>
    </row>
    <row r="744" spans="1:2" x14ac:dyDescent="0.25">
      <c r="A744" s="39">
        <v>45260.49454861111</v>
      </c>
      <c r="B744" s="38" t="s">
        <v>31</v>
      </c>
    </row>
    <row r="745" spans="1:2" x14ac:dyDescent="0.25">
      <c r="A745" s="39">
        <v>45260.495358796295</v>
      </c>
      <c r="B745" s="38" t="s">
        <v>31</v>
      </c>
    </row>
    <row r="746" spans="1:2" x14ac:dyDescent="0.25">
      <c r="A746" s="39">
        <v>45260.535405092596</v>
      </c>
      <c r="B746" s="38" t="s">
        <v>31</v>
      </c>
    </row>
    <row r="747" spans="1:2" x14ac:dyDescent="0.25">
      <c r="A747" s="39">
        <v>45270.427743055552</v>
      </c>
      <c r="B747" s="38" t="s">
        <v>31</v>
      </c>
    </row>
    <row r="748" spans="1:2" x14ac:dyDescent="0.25">
      <c r="A748" s="39">
        <v>45270.440127314818</v>
      </c>
      <c r="B748" s="38" t="s">
        <v>31</v>
      </c>
    </row>
    <row r="749" spans="1:2" x14ac:dyDescent="0.25">
      <c r="A749" s="39">
        <v>45270.440243055556</v>
      </c>
      <c r="B749" s="38" t="s">
        <v>31</v>
      </c>
    </row>
    <row r="750" spans="1:2" x14ac:dyDescent="0.25">
      <c r="A750" s="39">
        <v>45270.444305555553</v>
      </c>
      <c r="B750" s="38" t="s">
        <v>31</v>
      </c>
    </row>
    <row r="751" spans="1:2" x14ac:dyDescent="0.25">
      <c r="A751" s="39">
        <v>45270.444421296299</v>
      </c>
      <c r="B751" s="38" t="s">
        <v>31</v>
      </c>
    </row>
    <row r="752" spans="1:2" x14ac:dyDescent="0.25">
      <c r="A752" s="39">
        <v>45270.445462962962</v>
      </c>
      <c r="B752" s="38" t="s">
        <v>31</v>
      </c>
    </row>
    <row r="753" spans="1:2" x14ac:dyDescent="0.25">
      <c r="A753" s="39">
        <v>45270.4455787037</v>
      </c>
      <c r="B753" s="38" t="s">
        <v>31</v>
      </c>
    </row>
    <row r="754" spans="1:2" x14ac:dyDescent="0.25">
      <c r="A754" s="39">
        <v>45270.456805555557</v>
      </c>
      <c r="B754" s="38" t="s">
        <v>31</v>
      </c>
    </row>
    <row r="755" spans="1:2" x14ac:dyDescent="0.25">
      <c r="A755" s="39">
        <v>45270.456921296296</v>
      </c>
      <c r="B755" s="38" t="s">
        <v>31</v>
      </c>
    </row>
    <row r="756" spans="1:2" x14ac:dyDescent="0.25">
      <c r="A756" s="39">
        <v>45270.457037037035</v>
      </c>
      <c r="B756" s="38" t="s">
        <v>31</v>
      </c>
    </row>
    <row r="757" spans="1:2" x14ac:dyDescent="0.25">
      <c r="A757" s="39">
        <v>45270.457152777781</v>
      </c>
      <c r="B757" s="38" t="s">
        <v>31</v>
      </c>
    </row>
    <row r="758" spans="1:2" x14ac:dyDescent="0.25">
      <c r="A758" s="39">
        <v>45270.457268518519</v>
      </c>
      <c r="B758" s="38" t="s">
        <v>31</v>
      </c>
    </row>
    <row r="759" spans="1:2" x14ac:dyDescent="0.25">
      <c r="A759" s="39">
        <v>45270.457384259258</v>
      </c>
      <c r="B759" s="38" t="s">
        <v>31</v>
      </c>
    </row>
    <row r="760" spans="1:2" x14ac:dyDescent="0.25">
      <c r="A760" s="39">
        <v>45270.468842592592</v>
      </c>
      <c r="B760" s="38" t="s">
        <v>31</v>
      </c>
    </row>
    <row r="761" spans="1:2" x14ac:dyDescent="0.25">
      <c r="A761" s="39">
        <v>45270.468958333331</v>
      </c>
      <c r="B761" s="38" t="s">
        <v>31</v>
      </c>
    </row>
    <row r="762" spans="1:2" x14ac:dyDescent="0.25">
      <c r="A762" s="39">
        <v>45270.469074074077</v>
      </c>
      <c r="B762" s="38" t="s">
        <v>31</v>
      </c>
    </row>
    <row r="763" spans="1:2" x14ac:dyDescent="0.25">
      <c r="A763" s="39">
        <v>45270.469189814816</v>
      </c>
      <c r="B763" s="38" t="s">
        <v>31</v>
      </c>
    </row>
    <row r="764" spans="1:2" x14ac:dyDescent="0.25">
      <c r="A764" s="39">
        <v>45270.469305555554</v>
      </c>
      <c r="B764" s="38" t="s">
        <v>31</v>
      </c>
    </row>
    <row r="765" spans="1:2" x14ac:dyDescent="0.25">
      <c r="A765" s="39">
        <v>45270.469421296293</v>
      </c>
      <c r="B765" s="38" t="s">
        <v>31</v>
      </c>
    </row>
    <row r="766" spans="1:2" x14ac:dyDescent="0.25">
      <c r="A766" s="39">
        <v>45270.469537037039</v>
      </c>
      <c r="B766" s="38" t="s">
        <v>31</v>
      </c>
    </row>
    <row r="767" spans="1:2" x14ac:dyDescent="0.25">
      <c r="A767" s="39">
        <v>45270.469768518517</v>
      </c>
      <c r="B767" s="38" t="s">
        <v>31</v>
      </c>
    </row>
    <row r="768" spans="1:2" x14ac:dyDescent="0.25">
      <c r="A768" s="39">
        <v>45270.487013888887</v>
      </c>
      <c r="B768" s="38" t="s">
        <v>31</v>
      </c>
    </row>
    <row r="769" spans="1:2" x14ac:dyDescent="0.25">
      <c r="A769" s="39">
        <v>45270.487129629626</v>
      </c>
      <c r="B769" s="38" t="s">
        <v>31</v>
      </c>
    </row>
    <row r="770" spans="1:2" x14ac:dyDescent="0.25">
      <c r="A770" s="39">
        <v>45270.489444444444</v>
      </c>
      <c r="B770" s="38" t="s">
        <v>31</v>
      </c>
    </row>
    <row r="771" spans="1:2" x14ac:dyDescent="0.25">
      <c r="A771" s="39">
        <v>45270.489560185182</v>
      </c>
      <c r="B771" s="38" t="s">
        <v>31</v>
      </c>
    </row>
    <row r="772" spans="1:2" x14ac:dyDescent="0.25">
      <c r="A772" s="39">
        <v>45270.489675925928</v>
      </c>
      <c r="B772" s="38" t="s">
        <v>31</v>
      </c>
    </row>
    <row r="773" spans="1:2" x14ac:dyDescent="0.25">
      <c r="A773" s="39">
        <v>45270.489791666667</v>
      </c>
      <c r="B773" s="38" t="s">
        <v>31</v>
      </c>
    </row>
    <row r="774" spans="1:2" x14ac:dyDescent="0.25">
      <c r="A774" s="39">
        <v>45270.489907407406</v>
      </c>
      <c r="B774" s="38" t="s">
        <v>31</v>
      </c>
    </row>
    <row r="775" spans="1:2" x14ac:dyDescent="0.25">
      <c r="A775" s="39">
        <v>45270.490023148152</v>
      </c>
      <c r="B775" s="38" t="s">
        <v>31</v>
      </c>
    </row>
    <row r="776" spans="1:2" x14ac:dyDescent="0.25">
      <c r="A776" s="39">
        <v>45270.49013888889</v>
      </c>
      <c r="B776" s="38" t="s">
        <v>31</v>
      </c>
    </row>
    <row r="777" spans="1:2" x14ac:dyDescent="0.25">
      <c r="A777" s="39">
        <v>45270.490254629629</v>
      </c>
      <c r="B777" s="38" t="s">
        <v>31</v>
      </c>
    </row>
    <row r="778" spans="1:2" x14ac:dyDescent="0.25">
      <c r="A778" s="39">
        <v>45270.490370370368</v>
      </c>
      <c r="B778" s="38" t="s">
        <v>31</v>
      </c>
    </row>
    <row r="779" spans="1:2" x14ac:dyDescent="0.25">
      <c r="A779" s="39">
        <v>45270.491875</v>
      </c>
      <c r="B779" s="38" t="s">
        <v>31</v>
      </c>
    </row>
    <row r="780" spans="1:2" x14ac:dyDescent="0.25">
      <c r="A780" s="39">
        <v>45270.499050925922</v>
      </c>
      <c r="B780" s="38" t="s">
        <v>31</v>
      </c>
    </row>
    <row r="781" spans="1:2" x14ac:dyDescent="0.25">
      <c r="A781" s="39">
        <v>45270.499166666668</v>
      </c>
      <c r="B781" s="38" t="s">
        <v>31</v>
      </c>
    </row>
    <row r="782" spans="1:2" x14ac:dyDescent="0.25">
      <c r="A782" s="39">
        <v>45270.499513888892</v>
      </c>
      <c r="B782" s="38" t="s">
        <v>31</v>
      </c>
    </row>
    <row r="783" spans="1:2" x14ac:dyDescent="0.25">
      <c r="A783" s="39">
        <v>45270.49962962963</v>
      </c>
      <c r="B783" s="38" t="s">
        <v>31</v>
      </c>
    </row>
    <row r="784" spans="1:2" x14ac:dyDescent="0.25">
      <c r="A784" s="39">
        <v>45270.499745370369</v>
      </c>
      <c r="B784" s="38" t="s">
        <v>31</v>
      </c>
    </row>
    <row r="785" spans="1:2" x14ac:dyDescent="0.25">
      <c r="A785" s="39">
        <v>45270.499861111108</v>
      </c>
      <c r="B785" s="38" t="s">
        <v>31</v>
      </c>
    </row>
    <row r="786" spans="1:2" x14ac:dyDescent="0.25">
      <c r="A786" s="39">
        <v>45270.501828703702</v>
      </c>
      <c r="B786" s="38" t="s">
        <v>31</v>
      </c>
    </row>
    <row r="787" spans="1:2" x14ac:dyDescent="0.25">
      <c r="A787" s="39">
        <v>45270.511678240742</v>
      </c>
      <c r="B787" s="38" t="s">
        <v>31</v>
      </c>
    </row>
    <row r="788" spans="1:2" x14ac:dyDescent="0.25">
      <c r="A788" s="39">
        <v>45270.511793981481</v>
      </c>
      <c r="B788" s="38" t="s">
        <v>31</v>
      </c>
    </row>
    <row r="789" spans="1:2" x14ac:dyDescent="0.25">
      <c r="A789" s="39">
        <v>45270.51190972222</v>
      </c>
      <c r="B789" s="38" t="s">
        <v>31</v>
      </c>
    </row>
    <row r="790" spans="1:2" x14ac:dyDescent="0.25">
      <c r="A790" s="39">
        <v>45270.512025462966</v>
      </c>
      <c r="B790" s="38" t="s">
        <v>31</v>
      </c>
    </row>
    <row r="791" spans="1:2" x14ac:dyDescent="0.25">
      <c r="A791" s="39">
        <v>45270.512141203704</v>
      </c>
      <c r="B791" s="38" t="s">
        <v>31</v>
      </c>
    </row>
    <row r="792" spans="1:2" x14ac:dyDescent="0.25">
      <c r="A792" s="39">
        <v>45270.512256944443</v>
      </c>
      <c r="B792" s="38" t="s">
        <v>31</v>
      </c>
    </row>
    <row r="793" spans="1:2" x14ac:dyDescent="0.25">
      <c r="A793" s="39">
        <v>45270.512372685182</v>
      </c>
      <c r="B793" s="38" t="s">
        <v>31</v>
      </c>
    </row>
    <row r="794" spans="1:2" x14ac:dyDescent="0.25">
      <c r="A794" s="39">
        <v>45270.517002314817</v>
      </c>
      <c r="B794" s="38" t="s">
        <v>31</v>
      </c>
    </row>
    <row r="795" spans="1:2" x14ac:dyDescent="0.25">
      <c r="A795" s="39">
        <v>45270.517118055555</v>
      </c>
      <c r="B795" s="38" t="s">
        <v>31</v>
      </c>
    </row>
    <row r="796" spans="1:2" x14ac:dyDescent="0.25">
      <c r="A796" s="39">
        <v>45270.517233796294</v>
      </c>
      <c r="B796" s="38" t="s">
        <v>31</v>
      </c>
    </row>
    <row r="797" spans="1:2" x14ac:dyDescent="0.25">
      <c r="A797" s="39">
        <v>45270.51734953704</v>
      </c>
      <c r="B797" s="38" t="s">
        <v>31</v>
      </c>
    </row>
    <row r="798" spans="1:2" x14ac:dyDescent="0.25">
      <c r="A798" s="39">
        <v>45270.517465277779</v>
      </c>
      <c r="B798" s="38" t="s">
        <v>31</v>
      </c>
    </row>
    <row r="799" spans="1:2" x14ac:dyDescent="0.25">
      <c r="A799" s="39">
        <v>45270.524641203701</v>
      </c>
      <c r="B799" s="38" t="s">
        <v>31</v>
      </c>
    </row>
    <row r="800" spans="1:2" x14ac:dyDescent="0.25">
      <c r="A800" s="39">
        <v>45270.524756944447</v>
      </c>
      <c r="B800" s="38" t="s">
        <v>31</v>
      </c>
    </row>
    <row r="801" spans="1:2" x14ac:dyDescent="0.25">
      <c r="A801" s="39">
        <v>45270.524872685186</v>
      </c>
      <c r="B801" s="38" t="s">
        <v>31</v>
      </c>
    </row>
    <row r="802" spans="1:2" x14ac:dyDescent="0.25">
      <c r="A802" s="39">
        <v>45271.40111111111</v>
      </c>
      <c r="B802" s="38" t="s">
        <v>31</v>
      </c>
    </row>
    <row r="803" spans="1:2" x14ac:dyDescent="0.25">
      <c r="A803" s="39">
        <v>45271.401226851849</v>
      </c>
      <c r="B803" s="38" t="s">
        <v>31</v>
      </c>
    </row>
    <row r="804" spans="1:2" x14ac:dyDescent="0.25">
      <c r="A804" s="39">
        <v>45271.413958333331</v>
      </c>
      <c r="B804" s="38" t="s">
        <v>31</v>
      </c>
    </row>
    <row r="805" spans="1:2" x14ac:dyDescent="0.25">
      <c r="A805" s="39">
        <v>45271.414074074077</v>
      </c>
      <c r="B805" s="38" t="s">
        <v>31</v>
      </c>
    </row>
    <row r="806" spans="1:2" x14ac:dyDescent="0.25">
      <c r="A806" s="39">
        <v>45271.4690625</v>
      </c>
      <c r="B806" s="38" t="s">
        <v>31</v>
      </c>
    </row>
    <row r="807" spans="1:2" x14ac:dyDescent="0.25">
      <c r="A807" s="39">
        <v>45271.469178240739</v>
      </c>
      <c r="B807" s="38" t="s">
        <v>31</v>
      </c>
    </row>
    <row r="808" spans="1:2" x14ac:dyDescent="0.25">
      <c r="A808" s="39">
        <v>45271.499155092592</v>
      </c>
      <c r="B808" s="38" t="s">
        <v>31</v>
      </c>
    </row>
    <row r="809" spans="1:2" x14ac:dyDescent="0.25">
      <c r="A809" s="39">
        <v>45273.441712962966</v>
      </c>
      <c r="B809" s="38" t="s">
        <v>31</v>
      </c>
    </row>
    <row r="810" spans="1:2" x14ac:dyDescent="0.25">
      <c r="A810" s="39">
        <v>45273.456180555557</v>
      </c>
      <c r="B810" s="38" t="s">
        <v>31</v>
      </c>
    </row>
    <row r="811" spans="1:2" x14ac:dyDescent="0.25">
      <c r="A811" s="39">
        <v>45273.456296296295</v>
      </c>
      <c r="B811" s="38" t="s">
        <v>31</v>
      </c>
    </row>
    <row r="812" spans="1:2" x14ac:dyDescent="0.25">
      <c r="A812" s="39">
        <v>45273.46601851852</v>
      </c>
      <c r="B812" s="38" t="s">
        <v>31</v>
      </c>
    </row>
    <row r="813" spans="1:2" x14ac:dyDescent="0.25">
      <c r="A813" s="39">
        <v>45273.469953703701</v>
      </c>
      <c r="B813" s="38" t="s">
        <v>31</v>
      </c>
    </row>
    <row r="814" spans="1:2" x14ac:dyDescent="0.25">
      <c r="A814" s="39">
        <v>45273.470069444447</v>
      </c>
      <c r="B814" s="38" t="s">
        <v>31</v>
      </c>
    </row>
    <row r="815" spans="1:2" x14ac:dyDescent="0.25">
      <c r="A815" s="39">
        <v>45273.477939814817</v>
      </c>
      <c r="B815" s="38" t="s">
        <v>31</v>
      </c>
    </row>
    <row r="816" spans="1:2" x14ac:dyDescent="0.25">
      <c r="A816" s="39">
        <v>45273.478055555555</v>
      </c>
      <c r="B816" s="38" t="s">
        <v>31</v>
      </c>
    </row>
    <row r="817" spans="1:2" x14ac:dyDescent="0.25">
      <c r="A817" s="39">
        <v>45273.47828703704</v>
      </c>
      <c r="B817" s="38" t="s">
        <v>31</v>
      </c>
    </row>
    <row r="818" spans="1:2" x14ac:dyDescent="0.25">
      <c r="A818" s="39">
        <v>45273.478518518517</v>
      </c>
      <c r="B818" s="38" t="s">
        <v>31</v>
      </c>
    </row>
    <row r="819" spans="1:2" x14ac:dyDescent="0.25">
      <c r="A819" s="39">
        <v>45273.478634259256</v>
      </c>
      <c r="B819" s="38" t="s">
        <v>31</v>
      </c>
    </row>
    <row r="820" spans="1:2" x14ac:dyDescent="0.25">
      <c r="A820" s="39">
        <v>45273.479328703703</v>
      </c>
      <c r="B820" s="38" t="s">
        <v>31</v>
      </c>
    </row>
    <row r="821" spans="1:2" x14ac:dyDescent="0.25">
      <c r="A821" s="39">
        <v>45273.479444444441</v>
      </c>
      <c r="B821" s="38" t="s">
        <v>31</v>
      </c>
    </row>
    <row r="822" spans="1:2" x14ac:dyDescent="0.25">
      <c r="A822" s="39">
        <v>45273.486620370371</v>
      </c>
      <c r="B822" s="38" t="s">
        <v>31</v>
      </c>
    </row>
    <row r="823" spans="1:2" x14ac:dyDescent="0.25">
      <c r="A823" s="39">
        <v>45273.48673611111</v>
      </c>
      <c r="B823" s="38" t="s">
        <v>31</v>
      </c>
    </row>
    <row r="824" spans="1:2" x14ac:dyDescent="0.25">
      <c r="A824" s="39">
        <v>45273.493333333332</v>
      </c>
      <c r="B824" s="38" t="s">
        <v>31</v>
      </c>
    </row>
    <row r="825" spans="1:2" x14ac:dyDescent="0.25">
      <c r="A825" s="39">
        <v>45273.493449074071</v>
      </c>
      <c r="B825" s="38" t="s">
        <v>31</v>
      </c>
    </row>
    <row r="826" spans="1:2" x14ac:dyDescent="0.25">
      <c r="A826" s="39">
        <v>45273.493564814817</v>
      </c>
      <c r="B826" s="38" t="s">
        <v>31</v>
      </c>
    </row>
    <row r="827" spans="1:2" x14ac:dyDescent="0.25">
      <c r="A827" s="39">
        <v>45273.503645833334</v>
      </c>
      <c r="B827" s="38" t="s">
        <v>31</v>
      </c>
    </row>
    <row r="828" spans="1:2" x14ac:dyDescent="0.25">
      <c r="A828" s="39">
        <v>45273.504340277781</v>
      </c>
      <c r="B828" s="38" t="s">
        <v>31</v>
      </c>
    </row>
    <row r="829" spans="1:2" x14ac:dyDescent="0.25">
      <c r="A829" s="39">
        <v>45273.50445601852</v>
      </c>
      <c r="B829" s="38" t="s">
        <v>31</v>
      </c>
    </row>
    <row r="830" spans="1:2" x14ac:dyDescent="0.25">
      <c r="A830" s="39">
        <v>45273.504571759258</v>
      </c>
      <c r="B830" s="38" t="s">
        <v>31</v>
      </c>
    </row>
    <row r="831" spans="1:2" x14ac:dyDescent="0.25">
      <c r="A831" s="39">
        <v>45279.437708333331</v>
      </c>
      <c r="B831" s="38" t="s">
        <v>31</v>
      </c>
    </row>
    <row r="832" spans="1:2" x14ac:dyDescent="0.25">
      <c r="A832" s="39">
        <v>45279.442800925928</v>
      </c>
      <c r="B832" s="38" t="s">
        <v>31</v>
      </c>
    </row>
    <row r="833" spans="1:2" x14ac:dyDescent="0.25">
      <c r="A833" s="39">
        <v>45279.463750000003</v>
      </c>
      <c r="B833" s="38" t="s">
        <v>31</v>
      </c>
    </row>
    <row r="834" spans="1:2" x14ac:dyDescent="0.25">
      <c r="A834" s="39">
        <v>45279.463865740741</v>
      </c>
      <c r="B834" s="38" t="s">
        <v>31</v>
      </c>
    </row>
    <row r="835" spans="1:2" x14ac:dyDescent="0.25">
      <c r="A835" s="39">
        <v>45279.46398148148</v>
      </c>
      <c r="B835" s="38" t="s">
        <v>31</v>
      </c>
    </row>
    <row r="836" spans="1:2" x14ac:dyDescent="0.25">
      <c r="A836" s="39">
        <v>45279.464097222219</v>
      </c>
      <c r="B836" s="38" t="s">
        <v>31</v>
      </c>
    </row>
    <row r="837" spans="1:2" x14ac:dyDescent="0.25">
      <c r="A837" s="39">
        <v>45279.464212962965</v>
      </c>
      <c r="B837" s="38" t="s">
        <v>31</v>
      </c>
    </row>
    <row r="838" spans="1:2" x14ac:dyDescent="0.25">
      <c r="A838" s="39">
        <v>45279.464328703703</v>
      </c>
      <c r="B838" s="38" t="s">
        <v>31</v>
      </c>
    </row>
    <row r="839" spans="1:2" x14ac:dyDescent="0.25">
      <c r="A839" s="39">
        <v>45279.464444444442</v>
      </c>
      <c r="B839" s="38" t="s">
        <v>31</v>
      </c>
    </row>
    <row r="840" spans="1:2" x14ac:dyDescent="0.25">
      <c r="A840" s="39">
        <v>45280.525567129633</v>
      </c>
      <c r="B840" s="38" t="s">
        <v>31</v>
      </c>
    </row>
    <row r="841" spans="1:2" x14ac:dyDescent="0.25">
      <c r="A841" s="39">
        <v>45280.525682870371</v>
      </c>
      <c r="B841" s="38" t="s">
        <v>31</v>
      </c>
    </row>
    <row r="842" spans="1:2" x14ac:dyDescent="0.25">
      <c r="A842" s="39">
        <v>45280.52579861111</v>
      </c>
      <c r="B842" s="38" t="s">
        <v>31</v>
      </c>
    </row>
    <row r="843" spans="1:2" x14ac:dyDescent="0.25">
      <c r="A843" s="39">
        <v>45280.525914351849</v>
      </c>
      <c r="B843" s="38" t="s">
        <v>31</v>
      </c>
    </row>
    <row r="844" spans="1:2" x14ac:dyDescent="0.25">
      <c r="A844" s="39">
        <v>45280.538414351853</v>
      </c>
      <c r="B844" s="38" t="s">
        <v>31</v>
      </c>
    </row>
    <row r="845" spans="1:2" x14ac:dyDescent="0.25">
      <c r="A845" s="39">
        <v>45280.538645833331</v>
      </c>
      <c r="B845" s="38" t="s">
        <v>31</v>
      </c>
    </row>
    <row r="846" spans="1:2" x14ac:dyDescent="0.25">
      <c r="A846" s="39">
        <v>45281.48978009259</v>
      </c>
      <c r="B846" s="38" t="s">
        <v>31</v>
      </c>
    </row>
    <row r="847" spans="1:2" x14ac:dyDescent="0.25">
      <c r="A847" s="39">
        <v>45281.505879629629</v>
      </c>
      <c r="B847" s="38" t="s">
        <v>31</v>
      </c>
    </row>
    <row r="848" spans="1:2" x14ac:dyDescent="0.25">
      <c r="A848" s="39">
        <v>45281.505995370368</v>
      </c>
      <c r="B848" s="38" t="s">
        <v>31</v>
      </c>
    </row>
    <row r="849" spans="1:2" x14ac:dyDescent="0.25">
      <c r="A849" s="39">
        <v>45281.506342592591</v>
      </c>
      <c r="B849" s="38" t="s">
        <v>31</v>
      </c>
    </row>
    <row r="850" spans="1:2" x14ac:dyDescent="0.25">
      <c r="A850" s="39">
        <v>45281.532847222225</v>
      </c>
      <c r="B850" s="38" t="s">
        <v>31</v>
      </c>
    </row>
    <row r="851" spans="1:2" x14ac:dyDescent="0.25">
      <c r="A851" s="39">
        <v>45281.532962962963</v>
      </c>
      <c r="B851" s="38" t="s">
        <v>31</v>
      </c>
    </row>
    <row r="852" spans="1:2" x14ac:dyDescent="0.25">
      <c r="A852" s="39">
        <v>45281.533078703702</v>
      </c>
      <c r="B852" s="38" t="s">
        <v>31</v>
      </c>
    </row>
    <row r="853" spans="1:2" x14ac:dyDescent="0.25">
      <c r="A853" s="39">
        <v>45281.533194444448</v>
      </c>
      <c r="B853" s="38" t="s">
        <v>31</v>
      </c>
    </row>
    <row r="854" spans="1:2" x14ac:dyDescent="0.25">
      <c r="A854" s="39">
        <v>45282.472407407404</v>
      </c>
      <c r="B854" s="38" t="s">
        <v>31</v>
      </c>
    </row>
    <row r="855" spans="1:2" x14ac:dyDescent="0.25">
      <c r="A855" s="39">
        <v>45282.472638888888</v>
      </c>
      <c r="B855" s="38" t="s">
        <v>31</v>
      </c>
    </row>
    <row r="856" spans="1:2" x14ac:dyDescent="0.25">
      <c r="A856" s="39">
        <v>45282.477962962963</v>
      </c>
      <c r="B856" s="38" t="s">
        <v>31</v>
      </c>
    </row>
    <row r="857" spans="1:2" x14ac:dyDescent="0.25">
      <c r="A857" s="39">
        <v>45282.47923611111</v>
      </c>
      <c r="B857" s="38" t="s">
        <v>31</v>
      </c>
    </row>
    <row r="858" spans="1:2" x14ac:dyDescent="0.25">
      <c r="A858" s="39">
        <v>45282.48537037037</v>
      </c>
      <c r="B858" s="38" t="s">
        <v>31</v>
      </c>
    </row>
    <row r="859" spans="1:2" x14ac:dyDescent="0.25">
      <c r="A859" s="39">
        <v>45282.485486111109</v>
      </c>
      <c r="B859" s="38" t="s">
        <v>31</v>
      </c>
    </row>
    <row r="860" spans="1:2" x14ac:dyDescent="0.25">
      <c r="A860" s="39">
        <v>45282.486770833333</v>
      </c>
      <c r="B860" s="38" t="s">
        <v>31</v>
      </c>
    </row>
    <row r="861" spans="1:2" x14ac:dyDescent="0.25">
      <c r="A861" s="39">
        <v>45282.486886574072</v>
      </c>
      <c r="B861" s="38" t="s">
        <v>31</v>
      </c>
    </row>
    <row r="862" spans="1:2" x14ac:dyDescent="0.25">
      <c r="A862" s="39">
        <v>45282.487002314818</v>
      </c>
      <c r="B862" s="38" t="s">
        <v>31</v>
      </c>
    </row>
    <row r="863" spans="1:2" x14ac:dyDescent="0.25">
      <c r="A863" s="39">
        <v>45282.487118055556</v>
      </c>
      <c r="B863" s="38" t="s">
        <v>31</v>
      </c>
    </row>
    <row r="864" spans="1:2" x14ac:dyDescent="0.25">
      <c r="A864" s="39">
        <v>45282.487233796295</v>
      </c>
      <c r="B864" s="38" t="s">
        <v>31</v>
      </c>
    </row>
    <row r="865" spans="1:2" x14ac:dyDescent="0.25">
      <c r="A865" s="39">
        <v>45282.487349537034</v>
      </c>
      <c r="B865" s="38" t="s">
        <v>31</v>
      </c>
    </row>
    <row r="866" spans="1:2" x14ac:dyDescent="0.25">
      <c r="A866" s="39">
        <v>45282.497187499997</v>
      </c>
      <c r="B866" s="38" t="s">
        <v>31</v>
      </c>
    </row>
    <row r="867" spans="1:2" x14ac:dyDescent="0.25">
      <c r="A867" s="39">
        <v>45282.523113425923</v>
      </c>
      <c r="B867" s="38" t="s">
        <v>31</v>
      </c>
    </row>
    <row r="868" spans="1:2" x14ac:dyDescent="0.25">
      <c r="A868" s="39">
        <v>45282.523576388892</v>
      </c>
      <c r="B868" s="38" t="s">
        <v>31</v>
      </c>
    </row>
    <row r="869" spans="1:2" x14ac:dyDescent="0.25">
      <c r="A869" s="39">
        <v>45284.416701388887</v>
      </c>
      <c r="B869" s="38" t="s">
        <v>31</v>
      </c>
    </row>
    <row r="870" spans="1:2" x14ac:dyDescent="0.25">
      <c r="A870" s="39">
        <v>45286.532430555555</v>
      </c>
      <c r="B870" s="38" t="s">
        <v>31</v>
      </c>
    </row>
    <row r="871" spans="1:2" x14ac:dyDescent="0.25">
      <c r="A871" s="39">
        <v>45286.532546296294</v>
      </c>
      <c r="B871" s="38" t="s">
        <v>31</v>
      </c>
    </row>
    <row r="872" spans="1:2" x14ac:dyDescent="0.25">
      <c r="A872" s="39">
        <v>45286.53266203704</v>
      </c>
      <c r="B872" s="38" t="s">
        <v>31</v>
      </c>
    </row>
    <row r="873" spans="1:2" x14ac:dyDescent="0.25">
      <c r="A873" s="39">
        <v>45286.533125000002</v>
      </c>
      <c r="B873" s="38" t="s">
        <v>31</v>
      </c>
    </row>
    <row r="874" spans="1:2" x14ac:dyDescent="0.25">
      <c r="A874" s="39">
        <v>45286.53324074074</v>
      </c>
      <c r="B874" s="38" t="s">
        <v>31</v>
      </c>
    </row>
    <row r="875" spans="1:2" x14ac:dyDescent="0.25">
      <c r="A875" s="39">
        <v>45286.533587962964</v>
      </c>
      <c r="B875" s="38" t="s">
        <v>31</v>
      </c>
    </row>
    <row r="876" spans="1:2" x14ac:dyDescent="0.25">
      <c r="A876" s="39">
        <v>45286.533703703702</v>
      </c>
      <c r="B876" s="38" t="s">
        <v>31</v>
      </c>
    </row>
    <row r="877" spans="1:2" x14ac:dyDescent="0.25">
      <c r="A877" s="39">
        <v>45288.543761574074</v>
      </c>
      <c r="B877" s="38" t="s">
        <v>31</v>
      </c>
    </row>
    <row r="878" spans="1:2" x14ac:dyDescent="0.25">
      <c r="A878" s="39">
        <v>45288.543877314813</v>
      </c>
      <c r="B878" s="38" t="s">
        <v>31</v>
      </c>
    </row>
    <row r="879" spans="1:2" x14ac:dyDescent="0.25">
      <c r="A879" s="39">
        <v>45290.493379629632</v>
      </c>
      <c r="B879" s="38" t="s">
        <v>31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85244-EA13-4FF7-9103-63866C91265E}">
  <sheetPr codeName="Planilha7"/>
  <dimension ref="A3:H16"/>
  <sheetViews>
    <sheetView topLeftCell="A4" workbookViewId="0">
      <selection activeCell="A12" sqref="A12"/>
    </sheetView>
  </sheetViews>
  <sheetFormatPr defaultRowHeight="15" x14ac:dyDescent="0.25"/>
  <cols>
    <col min="1" max="1" width="20.28515625" bestFit="1" customWidth="1"/>
    <col min="2" max="2" width="11.140625" bestFit="1" customWidth="1"/>
    <col min="3" max="3" width="12.42578125" bestFit="1" customWidth="1"/>
    <col min="4" max="4" width="11.7109375" bestFit="1" customWidth="1"/>
    <col min="5" max="8" width="7.28515625" bestFit="1" customWidth="1"/>
  </cols>
  <sheetData>
    <row r="3" spans="1:8" x14ac:dyDescent="0.25">
      <c r="A3" s="36" t="s">
        <v>38</v>
      </c>
      <c r="D3" s="36" t="s">
        <v>36</v>
      </c>
    </row>
    <row r="4" spans="1:8" x14ac:dyDescent="0.25">
      <c r="A4" s="36" t="s">
        <v>39</v>
      </c>
      <c r="B4" s="36" t="s">
        <v>40</v>
      </c>
      <c r="C4" s="36" t="s">
        <v>37</v>
      </c>
      <c r="D4" t="s">
        <v>35</v>
      </c>
      <c r="E4" t="s">
        <v>32</v>
      </c>
      <c r="F4" t="s">
        <v>33</v>
      </c>
      <c r="G4" t="s">
        <v>34</v>
      </c>
      <c r="H4" t="s">
        <v>31</v>
      </c>
    </row>
    <row r="5" spans="1:8" x14ac:dyDescent="0.25">
      <c r="A5" t="s">
        <v>45</v>
      </c>
      <c r="H5">
        <v>451</v>
      </c>
    </row>
    <row r="6" spans="1:8" x14ac:dyDescent="0.25">
      <c r="A6" t="s">
        <v>46</v>
      </c>
      <c r="H6">
        <v>119</v>
      </c>
    </row>
    <row r="7" spans="1:8" x14ac:dyDescent="0.25">
      <c r="A7" t="s">
        <v>47</v>
      </c>
      <c r="H7">
        <v>59</v>
      </c>
    </row>
    <row r="8" spans="1:8" x14ac:dyDescent="0.25">
      <c r="A8" t="s">
        <v>52</v>
      </c>
      <c r="H8">
        <v>8</v>
      </c>
    </row>
    <row r="9" spans="1:8" x14ac:dyDescent="0.25">
      <c r="A9" t="s">
        <v>44</v>
      </c>
      <c r="F9">
        <v>2</v>
      </c>
      <c r="G9">
        <v>2</v>
      </c>
    </row>
    <row r="10" spans="1:8" x14ac:dyDescent="0.25">
      <c r="A10" t="s">
        <v>41</v>
      </c>
      <c r="D10">
        <v>2</v>
      </c>
    </row>
    <row r="11" spans="1:8" x14ac:dyDescent="0.25">
      <c r="A11" t="s">
        <v>42</v>
      </c>
      <c r="D11">
        <v>9</v>
      </c>
    </row>
    <row r="12" spans="1:8" x14ac:dyDescent="0.25">
      <c r="A12" t="s">
        <v>43</v>
      </c>
      <c r="E12">
        <v>4</v>
      </c>
      <c r="F12">
        <v>1</v>
      </c>
    </row>
    <row r="13" spans="1:8" x14ac:dyDescent="0.25">
      <c r="A13" t="s">
        <v>48</v>
      </c>
      <c r="H13">
        <v>10</v>
      </c>
    </row>
    <row r="14" spans="1:8" x14ac:dyDescent="0.25">
      <c r="A14" t="s">
        <v>49</v>
      </c>
      <c r="H14">
        <v>19</v>
      </c>
    </row>
    <row r="15" spans="1:8" x14ac:dyDescent="0.25">
      <c r="A15" t="s">
        <v>50</v>
      </c>
      <c r="H15">
        <v>58</v>
      </c>
    </row>
    <row r="16" spans="1:8" x14ac:dyDescent="0.25">
      <c r="A16" t="s">
        <v>51</v>
      </c>
      <c r="H16">
        <v>133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4A397-AEE4-4B20-B5C2-C99529ACEB50}">
  <dimension ref="C2:J2"/>
  <sheetViews>
    <sheetView workbookViewId="0">
      <selection activeCell="G9" sqref="G9"/>
    </sheetView>
  </sheetViews>
  <sheetFormatPr defaultRowHeight="15" x14ac:dyDescent="0.25"/>
  <sheetData>
    <row r="2" spans="3:10" x14ac:dyDescent="0.25">
      <c r="C2" t="s">
        <v>60</v>
      </c>
      <c r="D2" t="s">
        <v>61</v>
      </c>
      <c r="E2" t="s">
        <v>62</v>
      </c>
      <c r="F2" t="s">
        <v>63</v>
      </c>
      <c r="G2" t="s">
        <v>64</v>
      </c>
      <c r="H2" t="s">
        <v>65</v>
      </c>
      <c r="I2" t="s">
        <v>66</v>
      </c>
      <c r="J2" t="s">
        <v>67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37C9B5-1ED0-4F99-A1D3-064E2614D50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Inicio</vt:lpstr>
      <vt:lpstr>CAD 3 2023</vt:lpstr>
      <vt:lpstr>CAD 3 2024</vt:lpstr>
      <vt:lpstr>CAD 3 2025</vt:lpstr>
      <vt:lpstr>CAD 1 2024-2025</vt:lpstr>
      <vt:lpstr>Pot. Pico</vt:lpstr>
      <vt:lpstr>Gráfico MP</vt:lpstr>
      <vt:lpstr>BASE_GERAL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Higor H. Canedo Vieira</dc:creator>
  <cp:lastModifiedBy>Higor H. Canedo Vieira</cp:lastModifiedBy>
  <dcterms:created xsi:type="dcterms:W3CDTF">2024-04-29T14:20:18Z</dcterms:created>
  <dcterms:modified xsi:type="dcterms:W3CDTF">2025-12-02T19:02:42Z</dcterms:modified>
</cp:coreProperties>
</file>